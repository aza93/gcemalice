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K:\TARIFS 2020\A TRAITER PAR LES CATMANS\SUR PF DONC PRIX DE CESSION\"/>
    </mc:Choice>
  </mc:AlternateContent>
  <xr:revisionPtr revIDLastSave="0" documentId="8_{CC105ABE-642B-4A25-A5FA-8CA193E4A27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export_clients!$A$1:$AN$97</definedName>
  </definedNames>
  <calcPr calcId="181029"/>
</workbook>
</file>

<file path=xl/calcChain.xml><?xml version="1.0" encoding="utf-8"?>
<calcChain xmlns="http://schemas.openxmlformats.org/spreadsheetml/2006/main">
  <c r="P28" i="1" l="1"/>
  <c r="N29" i="1"/>
  <c r="N30" i="1"/>
  <c r="N31" i="1"/>
  <c r="N32" i="1"/>
  <c r="N37" i="1"/>
  <c r="N33" i="1"/>
  <c r="N34" i="1"/>
  <c r="N35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36" i="1"/>
  <c r="N63" i="1"/>
  <c r="N64" i="1"/>
  <c r="N65" i="1"/>
  <c r="N66" i="1"/>
  <c r="N67" i="1"/>
  <c r="N68" i="1"/>
  <c r="N27" i="1"/>
  <c r="N25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26" i="1"/>
  <c r="N15" i="1"/>
  <c r="N2" i="1"/>
  <c r="N3" i="1"/>
  <c r="N16" i="1"/>
  <c r="N4" i="1"/>
  <c r="N5" i="1"/>
  <c r="N6" i="1"/>
  <c r="N17" i="1"/>
  <c r="N7" i="1"/>
  <c r="N8" i="1"/>
  <c r="N9" i="1"/>
  <c r="N10" i="1"/>
  <c r="N11" i="1"/>
  <c r="N18" i="1"/>
  <c r="N19" i="1"/>
  <c r="N20" i="1"/>
  <c r="N21" i="1"/>
  <c r="N12" i="1"/>
  <c r="N13" i="1"/>
  <c r="N22" i="1"/>
  <c r="N23" i="1"/>
  <c r="N24" i="1"/>
  <c r="N14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28" i="1"/>
  <c r="L85" i="1" l="1"/>
  <c r="L92" i="1"/>
  <c r="L36" i="1"/>
  <c r="L18" i="1"/>
  <c r="L24" i="1"/>
  <c r="L10" i="1"/>
  <c r="L20" i="1"/>
  <c r="L82" i="1"/>
  <c r="L26" i="1"/>
  <c r="L3" i="1"/>
  <c r="L50" i="1"/>
  <c r="L30" i="1"/>
  <c r="L89" i="1"/>
  <c r="L29" i="1"/>
  <c r="L53" i="1"/>
  <c r="L8" i="1"/>
  <c r="L67" i="1"/>
  <c r="L45" i="1"/>
  <c r="L14" i="1"/>
  <c r="L44" i="1"/>
  <c r="L47" i="1"/>
  <c r="L22" i="1"/>
  <c r="L7" i="1"/>
  <c r="L37" i="1"/>
  <c r="L17" i="1"/>
  <c r="L31" i="1"/>
  <c r="L64" i="1"/>
  <c r="L88" i="1"/>
  <c r="L25" i="1"/>
  <c r="L72" i="1"/>
  <c r="L41" i="1"/>
  <c r="L33" i="1"/>
  <c r="L6" i="1"/>
  <c r="L73" i="1"/>
  <c r="L27" i="1"/>
  <c r="L70" i="1"/>
  <c r="L97" i="1"/>
  <c r="L81" i="1"/>
  <c r="L61" i="1"/>
  <c r="L5" i="1"/>
  <c r="L2" i="1"/>
  <c r="L90" i="1"/>
  <c r="L39" i="1"/>
  <c r="L58" i="1"/>
  <c r="L42" i="1"/>
  <c r="L54" i="1"/>
  <c r="L19" i="1"/>
  <c r="L87" i="1"/>
  <c r="L76" i="1"/>
  <c r="L46" i="1"/>
  <c r="L52" i="1"/>
  <c r="L83" i="1"/>
  <c r="L49" i="1"/>
  <c r="L38" i="1"/>
  <c r="L15" i="1"/>
  <c r="L68" i="1"/>
  <c r="L59" i="1"/>
  <c r="L62" i="1"/>
  <c r="L32" i="1"/>
  <c r="L77" i="1"/>
  <c r="L93" i="1"/>
  <c r="L66" i="1"/>
  <c r="L9" i="1"/>
  <c r="L94" i="1"/>
  <c r="L75" i="1"/>
  <c r="L86" i="1"/>
  <c r="L40" i="1"/>
  <c r="L60" i="1"/>
  <c r="L23" i="1"/>
  <c r="L56" i="1"/>
  <c r="L12" i="1"/>
  <c r="L57" i="1"/>
  <c r="L13" i="1"/>
  <c r="L11" i="1"/>
  <c r="L55" i="1"/>
  <c r="L21" i="1"/>
  <c r="L28" i="1"/>
  <c r="L34" i="1"/>
  <c r="L35" i="1"/>
  <c r="P85" i="1"/>
  <c r="P92" i="1"/>
  <c r="P36" i="1"/>
  <c r="P18" i="1"/>
  <c r="P24" i="1"/>
  <c r="P10" i="1"/>
  <c r="P20" i="1"/>
  <c r="P82" i="1"/>
  <c r="P26" i="1"/>
  <c r="P3" i="1"/>
  <c r="P50" i="1"/>
  <c r="P30" i="1"/>
  <c r="P89" i="1"/>
  <c r="P29" i="1"/>
  <c r="P53" i="1"/>
  <c r="P8" i="1"/>
  <c r="P67" i="1"/>
  <c r="P45" i="1"/>
  <c r="P14" i="1"/>
  <c r="P44" i="1"/>
  <c r="P47" i="1"/>
  <c r="P22" i="1"/>
  <c r="P7" i="1"/>
  <c r="P37" i="1"/>
  <c r="P17" i="1"/>
  <c r="P31" i="1"/>
  <c r="P64" i="1"/>
  <c r="P88" i="1"/>
  <c r="P25" i="1"/>
  <c r="P72" i="1"/>
  <c r="P41" i="1"/>
  <c r="P33" i="1"/>
  <c r="P6" i="1"/>
  <c r="P73" i="1"/>
  <c r="P27" i="1"/>
  <c r="P70" i="1"/>
  <c r="P97" i="1"/>
  <c r="P81" i="1"/>
  <c r="P61" i="1"/>
  <c r="P5" i="1"/>
  <c r="P2" i="1"/>
  <c r="P90" i="1"/>
  <c r="P39" i="1"/>
  <c r="P58" i="1"/>
  <c r="P42" i="1"/>
  <c r="P54" i="1"/>
  <c r="P19" i="1"/>
  <c r="P87" i="1"/>
  <c r="P76" i="1"/>
  <c r="P46" i="1"/>
  <c r="P52" i="1"/>
  <c r="P83" i="1"/>
  <c r="P49" i="1"/>
  <c r="P38" i="1"/>
  <c r="P15" i="1"/>
  <c r="P68" i="1"/>
  <c r="P59" i="1"/>
  <c r="P62" i="1"/>
  <c r="P32" i="1"/>
  <c r="P77" i="1"/>
  <c r="P93" i="1"/>
  <c r="P66" i="1"/>
  <c r="P9" i="1"/>
  <c r="P94" i="1"/>
  <c r="P75" i="1"/>
  <c r="P86" i="1"/>
  <c r="P40" i="1"/>
  <c r="P60" i="1"/>
  <c r="P23" i="1"/>
  <c r="P56" i="1"/>
  <c r="P12" i="1"/>
  <c r="P57" i="1"/>
  <c r="P13" i="1"/>
  <c r="P11" i="1"/>
  <c r="P55" i="1"/>
  <c r="P21" i="1"/>
  <c r="P34" i="1"/>
  <c r="P35" i="1"/>
  <c r="R35" i="1" l="1"/>
  <c r="Q55" i="1"/>
  <c r="R55" i="1" s="1"/>
  <c r="R13" i="1"/>
  <c r="Q40" i="1"/>
  <c r="R40" i="1" s="1"/>
  <c r="Q77" i="1"/>
  <c r="R77" i="1" s="1"/>
  <c r="Q49" i="1"/>
  <c r="R49" i="1" s="1"/>
  <c r="Q76" i="1"/>
  <c r="R76" i="1" s="1"/>
  <c r="Q42" i="1"/>
  <c r="R42" i="1" s="1"/>
  <c r="R2" i="1"/>
  <c r="Q81" i="1"/>
  <c r="R81" i="1" s="1"/>
  <c r="R27" i="1"/>
  <c r="R6" i="1"/>
  <c r="Q72" i="1"/>
  <c r="R72" i="1" s="1"/>
  <c r="Q64" i="1"/>
  <c r="R64" i="1" s="1"/>
  <c r="Q37" i="1"/>
  <c r="R37" i="1" s="1"/>
  <c r="Q22" i="1"/>
  <c r="R22" i="1" s="1"/>
  <c r="Q44" i="1"/>
  <c r="R44" i="1" s="1"/>
  <c r="R8" i="1"/>
  <c r="Q53" i="1"/>
  <c r="R53" i="1" s="1"/>
  <c r="R30" i="1"/>
  <c r="Q18" i="1"/>
  <c r="R18" i="1" s="1"/>
  <c r="Q92" i="1"/>
  <c r="R92" i="1" s="1"/>
  <c r="Q56" i="1"/>
  <c r="R56" i="1" s="1"/>
  <c r="Q93" i="1"/>
  <c r="R93" i="1" s="1"/>
  <c r="Q54" i="1"/>
  <c r="R54" i="1" s="1"/>
  <c r="Q67" i="1"/>
  <c r="R67" i="1" s="1"/>
  <c r="Q82" i="1"/>
  <c r="R82" i="1" s="1"/>
  <c r="R28" i="1"/>
  <c r="R12" i="1"/>
  <c r="Q75" i="1"/>
  <c r="R75" i="1" s="1"/>
  <c r="Q62" i="1"/>
  <c r="R62" i="1" s="1"/>
  <c r="Q15" i="1"/>
  <c r="R15" i="1" s="1"/>
  <c r="Q52" i="1"/>
  <c r="R52" i="1" s="1"/>
  <c r="Q19" i="1"/>
  <c r="R19" i="1" s="1"/>
  <c r="Q39" i="1"/>
  <c r="R39" i="1" s="1"/>
  <c r="Q61" i="1"/>
  <c r="R61" i="1" s="1"/>
  <c r="Q70" i="1"/>
  <c r="R70" i="1" s="1"/>
  <c r="Q73" i="1"/>
  <c r="R73" i="1" s="1"/>
  <c r="Q41" i="1"/>
  <c r="R41" i="1" s="1"/>
  <c r="R25" i="1"/>
  <c r="Q17" i="1"/>
  <c r="R17" i="1" s="1"/>
  <c r="R7" i="1"/>
  <c r="Q45" i="1"/>
  <c r="R45" i="1" s="1"/>
  <c r="R26" i="1"/>
  <c r="Q21" i="1"/>
  <c r="R21" i="1" s="1"/>
  <c r="R11" i="1"/>
  <c r="Q60" i="1"/>
  <c r="R60" i="1" s="1"/>
  <c r="Q94" i="1"/>
  <c r="R94" i="1" s="1"/>
  <c r="R9" i="1"/>
  <c r="Q59" i="1"/>
  <c r="R59" i="1" s="1"/>
  <c r="Q38" i="1"/>
  <c r="R38" i="1" s="1"/>
  <c r="Q46" i="1"/>
  <c r="R46" i="1" s="1"/>
  <c r="Q90" i="1"/>
  <c r="R90" i="1" s="1"/>
  <c r="Q88" i="1"/>
  <c r="R88" i="1" s="1"/>
  <c r="Q89" i="1"/>
  <c r="R89" i="1" s="1"/>
  <c r="Q20" i="1"/>
  <c r="R20" i="1" s="1"/>
  <c r="Q24" i="1"/>
  <c r="R24" i="1" s="1"/>
  <c r="Q85" i="1"/>
  <c r="R85" i="1" s="1"/>
  <c r="R34" i="1"/>
  <c r="Q57" i="1"/>
  <c r="R57" i="1" s="1"/>
  <c r="Q23" i="1"/>
  <c r="R23" i="1" s="1"/>
  <c r="Q86" i="1"/>
  <c r="R86" i="1" s="1"/>
  <c r="Q66" i="1"/>
  <c r="R66" i="1" s="1"/>
  <c r="R32" i="1"/>
  <c r="Q68" i="1"/>
  <c r="R68" i="1" s="1"/>
  <c r="Q83" i="1"/>
  <c r="R83" i="1" s="1"/>
  <c r="Q87" i="1"/>
  <c r="R87" i="1" s="1"/>
  <c r="Q58" i="1"/>
  <c r="R58" i="1" s="1"/>
  <c r="R5" i="1"/>
  <c r="Q97" i="1"/>
  <c r="R97" i="1" s="1"/>
  <c r="R33" i="1"/>
  <c r="R31" i="1"/>
  <c r="Q47" i="1"/>
  <c r="R47" i="1" s="1"/>
  <c r="R14" i="1"/>
  <c r="R29" i="1"/>
  <c r="Q50" i="1"/>
  <c r="R50" i="1" s="1"/>
  <c r="R3" i="1"/>
  <c r="R10" i="1"/>
  <c r="Q36" i="1"/>
  <c r="R36" i="1" s="1"/>
  <c r="P63" i="1"/>
  <c r="P79" i="1"/>
  <c r="P91" i="1"/>
  <c r="P78" i="1"/>
  <c r="P51" i="1"/>
  <c r="P65" i="1"/>
  <c r="P48" i="1"/>
  <c r="P69" i="1"/>
  <c r="P84" i="1"/>
  <c r="P95" i="1"/>
  <c r="P43" i="1"/>
  <c r="P80" i="1"/>
  <c r="P96" i="1"/>
  <c r="P16" i="1"/>
  <c r="P4" i="1"/>
  <c r="P71" i="1"/>
  <c r="P74" i="1"/>
  <c r="L63" i="1"/>
  <c r="L79" i="1"/>
  <c r="L91" i="1"/>
  <c r="L78" i="1"/>
  <c r="L51" i="1"/>
  <c r="L65" i="1"/>
  <c r="L48" i="1"/>
  <c r="L69" i="1"/>
  <c r="L84" i="1"/>
  <c r="L95" i="1"/>
  <c r="L43" i="1"/>
  <c r="L80" i="1"/>
  <c r="L96" i="1"/>
  <c r="L16" i="1"/>
  <c r="L4" i="1"/>
  <c r="L71" i="1"/>
  <c r="L74" i="1"/>
  <c r="Q91" i="1" l="1"/>
  <c r="R91" i="1" s="1"/>
  <c r="Q74" i="1"/>
  <c r="R74" i="1" s="1"/>
  <c r="Q96" i="1"/>
  <c r="R96" i="1" s="1"/>
  <c r="Q95" i="1"/>
  <c r="R95" i="1" s="1"/>
  <c r="Q84" i="1"/>
  <c r="R84" i="1" s="1"/>
  <c r="Q48" i="1"/>
  <c r="R48" i="1" s="1"/>
  <c r="Q65" i="1"/>
  <c r="R65" i="1" s="1"/>
  <c r="Q79" i="1"/>
  <c r="R79" i="1" s="1"/>
  <c r="Q69" i="1"/>
  <c r="R69" i="1" s="1"/>
  <c r="Q80" i="1"/>
  <c r="R80" i="1" s="1"/>
  <c r="Q51" i="1"/>
  <c r="R51" i="1" s="1"/>
  <c r="Q71" i="1"/>
  <c r="R71" i="1" s="1"/>
  <c r="R4" i="1"/>
  <c r="Q16" i="1"/>
  <c r="R16" i="1" s="1"/>
  <c r="Q43" i="1"/>
  <c r="R43" i="1" s="1"/>
  <c r="Q78" i="1"/>
  <c r="R78" i="1" s="1"/>
  <c r="Q63" i="1"/>
  <c r="R63" i="1" s="1"/>
</calcChain>
</file>

<file path=xl/sharedStrings.xml><?xml version="1.0" encoding="utf-8"?>
<sst xmlns="http://schemas.openxmlformats.org/spreadsheetml/2006/main" count="2035" uniqueCount="546">
  <si>
    <t>Code</t>
  </si>
  <si>
    <t>EAN</t>
  </si>
  <si>
    <t>Description</t>
  </si>
  <si>
    <t>Fournisseur</t>
  </si>
  <si>
    <t>Rayon/Sous-rayon</t>
  </si>
  <si>
    <t>Famille</t>
  </si>
  <si>
    <t>Marque</t>
  </si>
  <si>
    <t>Stock</t>
  </si>
  <si>
    <t>Statut</t>
  </si>
  <si>
    <t>Gamme</t>
  </si>
  <si>
    <t>Classement</t>
  </si>
  <si>
    <t>CSS</t>
  </si>
  <si>
    <t>Référence produit</t>
  </si>
  <si>
    <t>En cours Cde</t>
  </si>
  <si>
    <t>En cours Réc.</t>
  </si>
  <si>
    <t>ventes 28J</t>
  </si>
  <si>
    <t>vts 28j-1A</t>
  </si>
  <si>
    <t>Besoin brt</t>
  </si>
  <si>
    <t>PCB</t>
  </si>
  <si>
    <t>Liste des EAN(s)</t>
  </si>
  <si>
    <t>Four.Source</t>
  </si>
  <si>
    <t>Nom Four.Source</t>
  </si>
  <si>
    <t>Nature</t>
  </si>
  <si>
    <t>Statut référencement</t>
  </si>
  <si>
    <t>Date de mise sur le marché</t>
  </si>
  <si>
    <t>Date de fin</t>
  </si>
  <si>
    <t>TVA</t>
  </si>
  <si>
    <t>DEEE HT</t>
  </si>
  <si>
    <t>Taxes2</t>
  </si>
  <si>
    <t>ECART</t>
  </si>
  <si>
    <t>PV €</t>
  </si>
  <si>
    <t>Marge</t>
  </si>
  <si>
    <t>MARGE</t>
  </si>
  <si>
    <t>COUTS LOG 2020</t>
  </si>
  <si>
    <t>PC MAG</t>
  </si>
  <si>
    <t>PA Four.Source</t>
  </si>
  <si>
    <t>P.A SOURCES €</t>
  </si>
  <si>
    <t>PV</t>
  </si>
  <si>
    <t xml:space="preserve">PC </t>
  </si>
  <si>
    <t xml:space="preserve">NOUVEAU PA HT  </t>
  </si>
  <si>
    <t>810116</t>
  </si>
  <si>
    <t>3450552409153</t>
  </si>
  <si>
    <t>MELANGE PIGEON 4 SAISONS 5KG</t>
  </si>
  <si>
    <t>PF1 - LOGISTIQUE MEUNG</t>
  </si>
  <si>
    <t>3       /  14</t>
  </si>
  <si>
    <t>71 - Alimentation coussins oiseaux</t>
  </si>
  <si>
    <t>GASCO</t>
  </si>
  <si>
    <t>810117</t>
  </si>
  <si>
    <t>3450556002060</t>
  </si>
  <si>
    <t>MELANGE PIGEON 4 SAISONS 20KG</t>
  </si>
  <si>
    <t>72 - Alimentation gros conditionnem</t>
  </si>
  <si>
    <t>810126</t>
  </si>
  <si>
    <t>3450550300407</t>
  </si>
  <si>
    <t>GS COT&amp;CO LAPIN GR 10KG</t>
  </si>
  <si>
    <t>2       /  11</t>
  </si>
  <si>
    <t>53 - Aliments rongeurs</t>
  </si>
  <si>
    <t>810127</t>
  </si>
  <si>
    <t>3450550300506</t>
  </si>
  <si>
    <t>GS COT&amp;CO LAPIN GR 25KG</t>
  </si>
  <si>
    <t>810131</t>
  </si>
  <si>
    <t>3450550300902</t>
  </si>
  <si>
    <t>GS COT&amp;CO POULET GR 25KG</t>
  </si>
  <si>
    <t>3       /  90</t>
  </si>
  <si>
    <t>73 - Alimentation hygiene basse-co</t>
  </si>
  <si>
    <t>810133</t>
  </si>
  <si>
    <t>3450553406953</t>
  </si>
  <si>
    <t>GS CANARIS 5KG</t>
  </si>
  <si>
    <t>810134</t>
  </si>
  <si>
    <t>3450553406458</t>
  </si>
  <si>
    <t>GS EXOTIQUES 5KG</t>
  </si>
  <si>
    <t>810135</t>
  </si>
  <si>
    <t>3450553826089</t>
  </si>
  <si>
    <t>GS GRANDE PERRUCHES 4KG</t>
  </si>
  <si>
    <t>810136</t>
  </si>
  <si>
    <t>3450553825952</t>
  </si>
  <si>
    <t>GS PERRUCHES 5KG</t>
  </si>
  <si>
    <t>810137</t>
  </si>
  <si>
    <t>3450553200087</t>
  </si>
  <si>
    <t>GS LAPIN NAIN 4KG</t>
  </si>
  <si>
    <t>810138</t>
  </si>
  <si>
    <t>3450553200131</t>
  </si>
  <si>
    <t>GS COBAYE 3KG</t>
  </si>
  <si>
    <t>810139</t>
  </si>
  <si>
    <t>3450553200117</t>
  </si>
  <si>
    <t>GS HAMSTER 3KG</t>
  </si>
  <si>
    <t>810142</t>
  </si>
  <si>
    <t>3450550305006</t>
  </si>
  <si>
    <t>GS COT&amp;CO BIO POULE GR 5KG</t>
  </si>
  <si>
    <t>810143</t>
  </si>
  <si>
    <t>3450550304009</t>
  </si>
  <si>
    <t>GS COT&amp;CO BIO VOLAILLE GR 5KG</t>
  </si>
  <si>
    <t>810144</t>
  </si>
  <si>
    <t>3450550303002</t>
  </si>
  <si>
    <t>GS COT&amp;CO BIO VOLAILLE MI 5KG</t>
  </si>
  <si>
    <t>815632</t>
  </si>
  <si>
    <t>3450550301008</t>
  </si>
  <si>
    <t>GS COT&amp;CO BIO PONDEUSE 10KG</t>
  </si>
  <si>
    <t>822527</t>
  </si>
  <si>
    <t>3450552000404</t>
  </si>
  <si>
    <t>MELANGE PONDEUSE BIO 8KG</t>
  </si>
  <si>
    <t>824024</t>
  </si>
  <si>
    <t>3700602095967</t>
  </si>
  <si>
    <t>ANIMALIS MELANG BASSE COUR 5KG</t>
  </si>
  <si>
    <t>ANIMALIS</t>
  </si>
  <si>
    <t>824025</t>
  </si>
  <si>
    <t>3700602095974</t>
  </si>
  <si>
    <t>ANIMALIS MELANG BASSECOUR 20KG</t>
  </si>
  <si>
    <t>824078</t>
  </si>
  <si>
    <t>3700602096674</t>
  </si>
  <si>
    <t>ANIMALIS MAIS 20KG</t>
  </si>
  <si>
    <t>824079</t>
  </si>
  <si>
    <t>3700602096681</t>
  </si>
  <si>
    <t>ANIMALIS MAIS CONCASSE 20KG</t>
  </si>
  <si>
    <t>824080</t>
  </si>
  <si>
    <t>3700602095257</t>
  </si>
  <si>
    <t>ANIMALIS MELANGE PONDEUSE 20KG</t>
  </si>
  <si>
    <t>824081</t>
  </si>
  <si>
    <t>3700602095271</t>
  </si>
  <si>
    <t>ANIMALIS MEL POULE SUP 20KG</t>
  </si>
  <si>
    <t>824082</t>
  </si>
  <si>
    <t>3700602095264</t>
  </si>
  <si>
    <t>ANIMALIS MELANGE POUSSIN 5KG</t>
  </si>
  <si>
    <t>824084</t>
  </si>
  <si>
    <t>3700602095523</t>
  </si>
  <si>
    <t>ANIMALIS MAIS 5KG</t>
  </si>
  <si>
    <t>824085</t>
  </si>
  <si>
    <t>3700602095530</t>
  </si>
  <si>
    <t>ANIMALIS MAIS CONCASSE 4KG</t>
  </si>
  <si>
    <t>824086</t>
  </si>
  <si>
    <t>3700602095547</t>
  </si>
  <si>
    <t>ANIMALIS MELANGE PONDEUSE 5KG</t>
  </si>
  <si>
    <t>824087</t>
  </si>
  <si>
    <t>3700602095554</t>
  </si>
  <si>
    <t>ANIMALIS MEL POULE SUP 5KG</t>
  </si>
  <si>
    <t>836306</t>
  </si>
  <si>
    <t>3450554409915</t>
  </si>
  <si>
    <t>ARACHIDES DECORTIQUEES 2 KG</t>
  </si>
  <si>
    <t>3       /  89</t>
  </si>
  <si>
    <t>76 - Alimentation et animaux nature</t>
  </si>
  <si>
    <t>836307</t>
  </si>
  <si>
    <t>3450554409946</t>
  </si>
  <si>
    <t>TOURNESOL DECORTIQUE 2KG</t>
  </si>
  <si>
    <t>836320</t>
  </si>
  <si>
    <t>3450553410271</t>
  </si>
  <si>
    <t>OISEAU DU CIEL BIO 5KG</t>
  </si>
  <si>
    <t>836321</t>
  </si>
  <si>
    <t>3450553410295</t>
  </si>
  <si>
    <t>TOURNESOL NOIR BIO 5KG</t>
  </si>
  <si>
    <t>836322</t>
  </si>
  <si>
    <t>3450554409922</t>
  </si>
  <si>
    <t>MELANGE OISEAUX 4 SAISONS 2KG</t>
  </si>
  <si>
    <t>836323</t>
  </si>
  <si>
    <t>3450554409939</t>
  </si>
  <si>
    <t>MELANGE JARDIN D'HIVER 2KG</t>
  </si>
  <si>
    <t>845391</t>
  </si>
  <si>
    <t>3700543086758</t>
  </si>
  <si>
    <t>DERMOGEL CHIEN CHAT 125ML</t>
  </si>
  <si>
    <t>5       /  21</t>
  </si>
  <si>
    <t>115 - Parapharmacie / Hygiene chien</t>
  </si>
  <si>
    <t>BIOVETOL</t>
  </si>
  <si>
    <t>845392</t>
  </si>
  <si>
    <t>3700543085287</t>
  </si>
  <si>
    <t>LOTION ANTI GRATTE 240ML</t>
  </si>
  <si>
    <t>845393</t>
  </si>
  <si>
    <t>3700543085003</t>
  </si>
  <si>
    <t>LOTION ANTI INSECTES 240ML</t>
  </si>
  <si>
    <t>6       /  27</t>
  </si>
  <si>
    <t>135 - Produits antiparasitaires chat</t>
  </si>
  <si>
    <t>845394</t>
  </si>
  <si>
    <t>3700543085294</t>
  </si>
  <si>
    <t>LOTION ANTI ODEUR 240ML</t>
  </si>
  <si>
    <t>136 - Parapharmacie / Hygiene chat</t>
  </si>
  <si>
    <t>845395</t>
  </si>
  <si>
    <t>3700543085164</t>
  </si>
  <si>
    <t>LOTION DENTAIRE 125ML</t>
  </si>
  <si>
    <t>845396</t>
  </si>
  <si>
    <t>3700543085881</t>
  </si>
  <si>
    <t xml:space="preserve">LOTION DESTURINE CT 500+250ML </t>
  </si>
  <si>
    <t>845397</t>
  </si>
  <si>
    <t>3700543085850</t>
  </si>
  <si>
    <t>LOTION DESTURINE CN 500+250ML</t>
  </si>
  <si>
    <t>845398</t>
  </si>
  <si>
    <t>3700543085430</t>
  </si>
  <si>
    <t>LOTION HABITA CHIEN CHAT 240ML</t>
  </si>
  <si>
    <t>845399</t>
  </si>
  <si>
    <t>3700543085041</t>
  </si>
  <si>
    <t>LOTION HABITA CHIEN CHAT 500ML</t>
  </si>
  <si>
    <t>114 - Produits antiparasit. chien</t>
  </si>
  <si>
    <t>845400</t>
  </si>
  <si>
    <t>3700543085171</t>
  </si>
  <si>
    <t>LOTION OCULAIRE 125ML</t>
  </si>
  <si>
    <t>845401</t>
  </si>
  <si>
    <t>3700543085188</t>
  </si>
  <si>
    <t>LOTION OREILLES 125ML</t>
  </si>
  <si>
    <t>845402</t>
  </si>
  <si>
    <t>3700543085980</t>
  </si>
  <si>
    <t>MOUSSE ANTI GRATTE 125ML</t>
  </si>
  <si>
    <t>845403</t>
  </si>
  <si>
    <t>3700543085997</t>
  </si>
  <si>
    <t>MOUSSE ANTI ODEUR 125ML</t>
  </si>
  <si>
    <t>845404</t>
  </si>
  <si>
    <t>3700543086512</t>
  </si>
  <si>
    <t>MOUSSE LAVANTE BIO 125ML</t>
  </si>
  <si>
    <t>845405</t>
  </si>
  <si>
    <t>3700543085577</t>
  </si>
  <si>
    <t>PIPETTES CHAT CHATON 1ML X3</t>
  </si>
  <si>
    <t>845406</t>
  </si>
  <si>
    <t>3700543085584</t>
  </si>
  <si>
    <t>PIPETTES CHIOT PT CN 1.5MLX3</t>
  </si>
  <si>
    <t>845407</t>
  </si>
  <si>
    <t>3700543085607</t>
  </si>
  <si>
    <t>PIPETTES GRAND CHIEN 5ML X3</t>
  </si>
  <si>
    <t>845408</t>
  </si>
  <si>
    <t>3700543085591</t>
  </si>
  <si>
    <t>PIPETTE MOYEN CHIEN 3ML X3</t>
  </si>
  <si>
    <t>845409</t>
  </si>
  <si>
    <t>3700543085058</t>
  </si>
  <si>
    <t>SHAMPOING ANTI INSECTES 240ML</t>
  </si>
  <si>
    <t>845410</t>
  </si>
  <si>
    <t>3700543085195</t>
  </si>
  <si>
    <t>SHAMPOING JUNIOR 240ML</t>
  </si>
  <si>
    <t>845411</t>
  </si>
  <si>
    <t>3700543085218</t>
  </si>
  <si>
    <t>SHAMPOING TOUS PELAGES 240ML</t>
  </si>
  <si>
    <t>845412</t>
  </si>
  <si>
    <t>3700543086529</t>
  </si>
  <si>
    <t>SPRAY AMBIANCE O CALM 125ML</t>
  </si>
  <si>
    <t>845413</t>
  </si>
  <si>
    <t>3700543085331</t>
  </si>
  <si>
    <t>SPRAY REPULSIF 240ML</t>
  </si>
  <si>
    <t>845414</t>
  </si>
  <si>
    <t>3700543085911</t>
  </si>
  <si>
    <t>TROUSSE DE VOYAGE GARNIE 4X50M</t>
  </si>
  <si>
    <t>825243</t>
  </si>
  <si>
    <t>3700602097961</t>
  </si>
  <si>
    <t>ANIMALIS BALLE DE MILLET ANISE</t>
  </si>
  <si>
    <t>75 - Friandises</t>
  </si>
  <si>
    <t>825244</t>
  </si>
  <si>
    <t>3700602097978</t>
  </si>
  <si>
    <t>ANIMALIS BUCHETTE KIWI X4</t>
  </si>
  <si>
    <t>56 - Parapharmacie et hygiene</t>
  </si>
  <si>
    <t>ANIMALIS NAT</t>
  </si>
  <si>
    <t>825245</t>
  </si>
  <si>
    <t>3700602097985</t>
  </si>
  <si>
    <t>ANIMALIS BUCHETTE TOPINAMBO X4</t>
  </si>
  <si>
    <t>825247</t>
  </si>
  <si>
    <t>3700602098005</t>
  </si>
  <si>
    <t>ANIMALIS CATNIP 30G</t>
  </si>
  <si>
    <t>825248</t>
  </si>
  <si>
    <t>3700602098012</t>
  </si>
  <si>
    <t>ANIMALIS EPIS DE MAIS X3</t>
  </si>
  <si>
    <t>55 - Friandises</t>
  </si>
  <si>
    <t>825249</t>
  </si>
  <si>
    <t>3700602098029</t>
  </si>
  <si>
    <t>ANIMALIS LITIERE COTON 15L</t>
  </si>
  <si>
    <t>57 - Litieres petits animaux</t>
  </si>
  <si>
    <t>825251</t>
  </si>
  <si>
    <t>3700602098043</t>
  </si>
  <si>
    <t>ANIMALIS MILLET GRAP JAU 1KG</t>
  </si>
  <si>
    <t>825252</t>
  </si>
  <si>
    <t>3700602098050</t>
  </si>
  <si>
    <t>ANIMALIS MILLET GRAP RGE 1KG</t>
  </si>
  <si>
    <t>825253</t>
  </si>
  <si>
    <t>3700602098067</t>
  </si>
  <si>
    <t>ANIMALIS MILLET GRAP RGE 150G</t>
  </si>
  <si>
    <t>825254</t>
  </si>
  <si>
    <t>3700602098074</t>
  </si>
  <si>
    <t>ANIMALIS MILLET GRAP TRIO 150G</t>
  </si>
  <si>
    <t>825255</t>
  </si>
  <si>
    <t>3700602098081</t>
  </si>
  <si>
    <t>ANIMALIS NID DOU HAMSTER 150G</t>
  </si>
  <si>
    <t>2       /  12</t>
  </si>
  <si>
    <t>62 - Accessoires divers</t>
  </si>
  <si>
    <t>825256</t>
  </si>
  <si>
    <t>3700602098098</t>
  </si>
  <si>
    <t>ANIMALIS NID DOU HAMSTER 50G</t>
  </si>
  <si>
    <t>825258</t>
  </si>
  <si>
    <t>3700602098111</t>
  </si>
  <si>
    <t>ANIMALIS TAPIS CHANV/COTON TM</t>
  </si>
  <si>
    <t>825259</t>
  </si>
  <si>
    <t>3700602098128</t>
  </si>
  <si>
    <t>ANIMALIS TAPIS CHANV/COTON TS</t>
  </si>
  <si>
    <t>825260</t>
  </si>
  <si>
    <t>3700602098135</t>
  </si>
  <si>
    <t>ANIMALIS TAPIS CHANV OISEAU</t>
  </si>
  <si>
    <t>78 - sable et fond de cages</t>
  </si>
  <si>
    <t>825261</t>
  </si>
  <si>
    <t>3700602098142</t>
  </si>
  <si>
    <t>ANIMALIS TAPIS CHANV 110X50CM</t>
  </si>
  <si>
    <t>825262</t>
  </si>
  <si>
    <t>3700602098159</t>
  </si>
  <si>
    <t>ANIMALIS NID COTON 100G</t>
  </si>
  <si>
    <t>87 - Accessoires oiseaux nature</t>
  </si>
  <si>
    <t>825263</t>
  </si>
  <si>
    <t>3700602098166</t>
  </si>
  <si>
    <t>ANIMALIS MILLET GRAP JAU 150G</t>
  </si>
  <si>
    <t>825265</t>
  </si>
  <si>
    <t>3700602098180</t>
  </si>
  <si>
    <t>ANIMALIS EPIS MAIS 3 COULEURS</t>
  </si>
  <si>
    <t>825266</t>
  </si>
  <si>
    <t>3700602098197</t>
  </si>
  <si>
    <t>ANIMALIS BUCHETTE NOISETI 120G</t>
  </si>
  <si>
    <t>825267</t>
  </si>
  <si>
    <t>3700602098203</t>
  </si>
  <si>
    <t>ANIMALIS MAIS COULEUR 260G</t>
  </si>
  <si>
    <t>826154</t>
  </si>
  <si>
    <t>3700602099088</t>
  </si>
  <si>
    <t>ANIMALIS NID OISEAU 10G</t>
  </si>
  <si>
    <t>3       /  15</t>
  </si>
  <si>
    <t>86 - Nidification / elevage</t>
  </si>
  <si>
    <t>845561</t>
  </si>
  <si>
    <t>3700602111049</t>
  </si>
  <si>
    <t>ANIMALIS CATAIRE 80GR</t>
  </si>
  <si>
    <t>831992</t>
  </si>
  <si>
    <t>3700602100807</t>
  </si>
  <si>
    <t>ANIMALIS FOIN CAROTTE 1KG</t>
  </si>
  <si>
    <t>54 - Foins complement alimentation</t>
  </si>
  <si>
    <t>831993</t>
  </si>
  <si>
    <t>3700602100821</t>
  </si>
  <si>
    <t>ANIMALIS FLEOLE DES PRES 500G</t>
  </si>
  <si>
    <t>831994</t>
  </si>
  <si>
    <t>3700602100722</t>
  </si>
  <si>
    <t>ANIMALIS FOIN MENTHE 1KG</t>
  </si>
  <si>
    <t>831995</t>
  </si>
  <si>
    <t>3700602100753</t>
  </si>
  <si>
    <t>ANIMALIS FOIN MENT EGLAN 500G</t>
  </si>
  <si>
    <t>831996</t>
  </si>
  <si>
    <t>3700602100760</t>
  </si>
  <si>
    <t>ANIMALIS FOIN ORTIE SOUCI 500G</t>
  </si>
  <si>
    <t>831997</t>
  </si>
  <si>
    <t>3700602100715</t>
  </si>
  <si>
    <t>ANIMALIS FOIN PISSENLIT 1KG</t>
  </si>
  <si>
    <t>831998</t>
  </si>
  <si>
    <t>3700602100777</t>
  </si>
  <si>
    <t>ANIMALIS FOIN PISSEN CAMO 500G</t>
  </si>
  <si>
    <t>831999</t>
  </si>
  <si>
    <t>3700602100814</t>
  </si>
  <si>
    <t>ANIMALIS FOIN POM BETT RGE 1KG</t>
  </si>
  <si>
    <t>832000</t>
  </si>
  <si>
    <t>3700602100746</t>
  </si>
  <si>
    <t>ANIMALIS LUZERNE FLEOL BIO 1KG</t>
  </si>
  <si>
    <t>832001</t>
  </si>
  <si>
    <t>3700602100784</t>
  </si>
  <si>
    <t>ANIMALIS PAILLE 1KG</t>
  </si>
  <si>
    <t>832002</t>
  </si>
  <si>
    <t>3700602100791</t>
  </si>
  <si>
    <t>ANIMALIS PAILLE NATURELLE 8KG</t>
  </si>
  <si>
    <t>832003</t>
  </si>
  <si>
    <t>3700602100739</t>
  </si>
  <si>
    <t>ANIMALIS REGAIN BIO 1KG</t>
  </si>
  <si>
    <t>832362</t>
  </si>
  <si>
    <t>3700602100708</t>
  </si>
  <si>
    <t>ANIMALIS FOIN BIO 1KG</t>
  </si>
  <si>
    <t>832363</t>
  </si>
  <si>
    <t>3700602100692</t>
  </si>
  <si>
    <t>ANIMALIS FOIN DES PRES 8KG</t>
  </si>
  <si>
    <t>VC</t>
  </si>
  <si>
    <t>A</t>
  </si>
  <si>
    <t>AA</t>
  </si>
  <si>
    <t>10108-10</t>
  </si>
  <si>
    <t xml:space="preserve"> , , ,3450552409153</t>
  </si>
  <si>
    <t>100068</t>
  </si>
  <si>
    <t>PERM</t>
  </si>
  <si>
    <t>03</t>
  </si>
  <si>
    <t>20/08/2014</t>
  </si>
  <si>
    <t/>
  </si>
  <si>
    <t>Réduit 10%</t>
  </si>
  <si>
    <t>0.00</t>
  </si>
  <si>
    <t>10108-30</t>
  </si>
  <si>
    <t xml:space="preserve"> ,3450556002060,</t>
  </si>
  <si>
    <t>B</t>
  </si>
  <si>
    <t>BB</t>
  </si>
  <si>
    <t>70052</t>
  </si>
  <si>
    <t xml:space="preserve"> , , ,3450550300407</t>
  </si>
  <si>
    <t>C</t>
  </si>
  <si>
    <t>70053</t>
  </si>
  <si>
    <t xml:space="preserve"> , , ,3450550300506</t>
  </si>
  <si>
    <t>70057</t>
  </si>
  <si>
    <t xml:space="preserve"> , , ,3450550300902</t>
  </si>
  <si>
    <t>70021</t>
  </si>
  <si>
    <t xml:space="preserve"> , , ,3450553406953</t>
  </si>
  <si>
    <t>TxStd 20.%</t>
  </si>
  <si>
    <t>70064</t>
  </si>
  <si>
    <t xml:space="preserve"> , , ,3450553406458</t>
  </si>
  <si>
    <t>70072</t>
  </si>
  <si>
    <t xml:space="preserve"> , , ,3450553826089</t>
  </si>
  <si>
    <t>70108</t>
  </si>
  <si>
    <t xml:space="preserve"> , , ,3450553825952</t>
  </si>
  <si>
    <t>AAA</t>
  </si>
  <si>
    <t>70083</t>
  </si>
  <si>
    <t xml:space="preserve"> , , ,3450553200087</t>
  </si>
  <si>
    <t>70033</t>
  </si>
  <si>
    <t xml:space="preserve"> , , ,3450553200131</t>
  </si>
  <si>
    <t xml:space="preserve"> </t>
  </si>
  <si>
    <t>70080</t>
  </si>
  <si>
    <t xml:space="preserve"> , , ,3450553200117</t>
  </si>
  <si>
    <t>02</t>
  </si>
  <si>
    <t>70045</t>
  </si>
  <si>
    <t xml:space="preserve"> , , ,3000102714789</t>
  </si>
  <si>
    <t>70046</t>
  </si>
  <si>
    <t xml:space="preserve"> , , ,3000102714765</t>
  </si>
  <si>
    <t>04</t>
  </si>
  <si>
    <t>29/01/2020</t>
  </si>
  <si>
    <t>70047</t>
  </si>
  <si>
    <t xml:space="preserve"> , , </t>
  </si>
  <si>
    <t>70044</t>
  </si>
  <si>
    <t xml:space="preserve"> , , ,3450550301008</t>
  </si>
  <si>
    <t>11/09/2015</t>
  </si>
  <si>
    <t>10106-20</t>
  </si>
  <si>
    <t>3450552000404,</t>
  </si>
  <si>
    <t>15/12/2016</t>
  </si>
  <si>
    <t>26008-10</t>
  </si>
  <si>
    <t>3700602095967,,</t>
  </si>
  <si>
    <t>15/05/2017</t>
  </si>
  <si>
    <t>26008-30</t>
  </si>
  <si>
    <t>3700602095974,,</t>
  </si>
  <si>
    <t>26001-30</t>
  </si>
  <si>
    <t>3700602096674,,</t>
  </si>
  <si>
    <t>17/05/2017</t>
  </si>
  <si>
    <t>26002-30</t>
  </si>
  <si>
    <t>3700602096681,,</t>
  </si>
  <si>
    <t>26003-30</t>
  </si>
  <si>
    <t>3700602095257,</t>
  </si>
  <si>
    <t>26005-30</t>
  </si>
  <si>
    <t>3700602095271,,</t>
  </si>
  <si>
    <t>26004-30</t>
  </si>
  <si>
    <t>3700602095264,</t>
  </si>
  <si>
    <t>BBB</t>
  </si>
  <si>
    <t>26001-10</t>
  </si>
  <si>
    <t>3700602095523,</t>
  </si>
  <si>
    <t>26002-10</t>
  </si>
  <si>
    <t>3700602095530,</t>
  </si>
  <si>
    <t>26003-10</t>
  </si>
  <si>
    <t>3700602095547,</t>
  </si>
  <si>
    <t>26005-10</t>
  </si>
  <si>
    <t>3700602095554,</t>
  </si>
  <si>
    <t>70162</t>
  </si>
  <si>
    <t>3450554409915,,,</t>
  </si>
  <si>
    <t>12/10/2018</t>
  </si>
  <si>
    <t>70165</t>
  </si>
  <si>
    <t>3450554409946,,,</t>
  </si>
  <si>
    <t>10127-10</t>
  </si>
  <si>
    <t>3450553410271,,,</t>
  </si>
  <si>
    <t>SAISON</t>
  </si>
  <si>
    <t>01/09/2019</t>
  </si>
  <si>
    <t>31/03/2020</t>
  </si>
  <si>
    <t>10128-10</t>
  </si>
  <si>
    <t>3450553410295,,,</t>
  </si>
  <si>
    <t>70163</t>
  </si>
  <si>
    <t>3450554409922,,,</t>
  </si>
  <si>
    <t>70164</t>
  </si>
  <si>
    <t>3450554409939,,,</t>
  </si>
  <si>
    <t>CC</t>
  </si>
  <si>
    <t>30106</t>
  </si>
  <si>
    <t>,,,</t>
  </si>
  <si>
    <t>CCC</t>
  </si>
  <si>
    <t>30113</t>
  </si>
  <si>
    <t>30114</t>
  </si>
  <si>
    <t>30115</t>
  </si>
  <si>
    <t>30116</t>
  </si>
  <si>
    <t>30118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</si>
  <si>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</si>
  <si>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</si>
  <si>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</si>
  <si>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</si>
  <si>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</si>
  <si>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</si>
  <si>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</si>
  <si>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</si>
  <si>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</si>
  <si>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</si>
  <si>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</si>
  <si>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</si>
  <si>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30133</t>
  </si>
  <si>
    <t>30136</t>
  </si>
  <si>
    <t>30137</t>
  </si>
  <si>
    <t>30138</t>
  </si>
  <si>
    <t>30139</t>
  </si>
  <si>
    <t>30140</t>
  </si>
  <si>
    <t>26001</t>
  </si>
  <si>
    <t xml:space="preserve"> , ,3700602097961,</t>
  </si>
  <si>
    <t>100211</t>
  </si>
  <si>
    <t>GASCO MOREAU</t>
  </si>
  <si>
    <t>13/07/2017</t>
  </si>
  <si>
    <t>26002</t>
  </si>
  <si>
    <t xml:space="preserve"> , ,3700602097978,</t>
  </si>
  <si>
    <t>26003</t>
  </si>
  <si>
    <t xml:space="preserve"> , ,3700602097985,</t>
  </si>
  <si>
    <t>26005</t>
  </si>
  <si>
    <t xml:space="preserve"> , ,3700602098005,</t>
  </si>
  <si>
    <t>26006</t>
  </si>
  <si>
    <t xml:space="preserve"> , ,3700602098012,</t>
  </si>
  <si>
    <t>26007</t>
  </si>
  <si>
    <t xml:space="preserve"> , ,3700602098029,</t>
  </si>
  <si>
    <t>26009</t>
  </si>
  <si>
    <t xml:space="preserve"> , ,3700602098043,</t>
  </si>
  <si>
    <t>26010</t>
  </si>
  <si>
    <t xml:space="preserve"> , ,3700602098050,</t>
  </si>
  <si>
    <t>26011</t>
  </si>
  <si>
    <t xml:space="preserve"> , ,</t>
  </si>
  <si>
    <t>26013</t>
  </si>
  <si>
    <t xml:space="preserve"> , ,3700602098074,</t>
  </si>
  <si>
    <t>26014</t>
  </si>
  <si>
    <t xml:space="preserve"> , ,3700602098081,</t>
  </si>
  <si>
    <t>26015</t>
  </si>
  <si>
    <t xml:space="preserve"> , ,3700602098098,</t>
  </si>
  <si>
    <t>26020</t>
  </si>
  <si>
    <t xml:space="preserve"> , ,3700602098111,</t>
  </si>
  <si>
    <t>26021</t>
  </si>
  <si>
    <t xml:space="preserve"> , ,3700602098128,</t>
  </si>
  <si>
    <t>26022</t>
  </si>
  <si>
    <t xml:space="preserve"> , ,3700602098135,</t>
  </si>
  <si>
    <t>26023</t>
  </si>
  <si>
    <t xml:space="preserve"> ,3700602098142,,</t>
  </si>
  <si>
    <t>26026</t>
  </si>
  <si>
    <t xml:space="preserve"> , ,3700602098159,</t>
  </si>
  <si>
    <t>26027</t>
  </si>
  <si>
    <t xml:space="preserve"> , ,3700602098166,</t>
  </si>
  <si>
    <t>26029</t>
  </si>
  <si>
    <t xml:space="preserve"> , ,3700602098180,</t>
  </si>
  <si>
    <t>26030</t>
  </si>
  <si>
    <t xml:space="preserve"> , ,3700602098197,</t>
  </si>
  <si>
    <t>26031</t>
  </si>
  <si>
    <t xml:space="preserve"> , ,3700602098203,</t>
  </si>
  <si>
    <t>26032</t>
  </si>
  <si>
    <t xml:space="preserve"> , ,3700602099088,</t>
  </si>
  <si>
    <t>22/09/2017</t>
  </si>
  <si>
    <t>26037</t>
  </si>
  <si>
    <t>3700602111049,,,,</t>
  </si>
  <si>
    <t>26101</t>
  </si>
  <si>
    <t>,</t>
  </si>
  <si>
    <t>100297</t>
  </si>
  <si>
    <t>GASCO BIOLIDIS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</si>
  <si>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</si>
  <si>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</si>
  <si>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</si>
  <si>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</si>
  <si>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</si>
  <si>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</si>
  <si>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</si>
  <si>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</si>
  <si>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</si>
  <si>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</si>
  <si>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</si>
  <si>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26100</t>
  </si>
  <si>
    <t>26102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</si>
</sst>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20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vertical="top" wrapText="1"/>
    </xf>
    <xf numFmtId="0" fontId="18" fillId="33" borderId="10" xfId="0" applyFont="1" applyFill="1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19" fillId="34" borderId="10" xfId="0" applyFont="1" applyFill="1" applyBorder="1" applyAlignment="1">
      <alignment vertical="top" wrapText="1"/>
    </xf>
    <xf numFmtId="44" fontId="19" fillId="35" borderId="10" xfId="42" applyFont="1" applyFill="1" applyBorder="1" applyAlignment="1">
      <alignment vertical="top" wrapText="1"/>
    </xf>
    <xf numFmtId="0" fontId="19" fillId="35" borderId="10" xfId="0" applyFont="1" applyFill="1" applyBorder="1" applyAlignment="1">
      <alignment vertical="top" wrapText="1"/>
    </xf>
    <xf numFmtId="44" fontId="19" fillId="34" borderId="10" xfId="42" applyFont="1" applyFill="1" applyBorder="1" applyAlignment="1">
      <alignment vertical="top" wrapText="1"/>
    </xf>
    <xf numFmtId="44" fontId="0" fillId="0" borderId="0" xfId="42" applyFont="1" applyAlignment="1">
      <alignment vertical="top" wrapText="1"/>
    </xf>
    <xf numFmtId="44" fontId="0" fillId="0" borderId="0" xfId="42" applyFont="1" applyAlignment="1">
      <alignment horizontal="center" vertical="top" wrapText="1"/>
    </xf>
    <xf numFmtId="0" fontId="19" fillId="34" borderId="10" xfId="42" applyNumberFormat="1" applyFont="1" applyFill="1" applyBorder="1" applyAlignment="1">
      <alignment vertical="top" wrapText="1"/>
    </xf>
    <xf numFmtId="0" fontId="0" fillId="0" borderId="0" xfId="42" applyNumberFormat="1" applyFont="1" applyAlignment="1">
      <alignment vertical="top" wrapText="1"/>
    </xf>
    <xf numFmtId="44" fontId="0" fillId="0" borderId="11" xfId="0" applyNumberFormat="1" applyFont="1" applyFill="1" applyBorder="1" applyAlignment="1" applyProtection="1">
      <alignment horizontal="center" vertical="center"/>
    </xf>
    <xf numFmtId="10" fontId="21" fillId="0" borderId="11" xfId="0" applyNumberFormat="1" applyFont="1" applyFill="1" applyBorder="1" applyAlignment="1">
      <alignment horizontal="right" vertical="center"/>
    </xf>
    <xf numFmtId="0" fontId="0" fillId="0" borderId="0" xfId="0" applyBorder="1"/>
    <xf numFmtId="0" fontId="0" fillId="0" borderId="0" xfId="0" applyFill="1" applyAlignment="1">
      <alignment horizontal="center" vertical="top" wrapText="1"/>
    </xf>
    <xf numFmtId="0" fontId="19" fillId="35" borderId="10" xfId="42" applyNumberFormat="1" applyFont="1" applyFill="1" applyBorder="1" applyAlignment="1">
      <alignment vertical="top" wrapText="1"/>
    </xf>
    <xf numFmtId="44" fontId="20" fillId="0" borderId="11" xfId="42" applyFont="1" applyBorder="1"/>
    <xf numFmtId="0" fontId="0" fillId="0" borderId="12" xfId="0" applyBorder="1" applyAlignment="1">
      <alignment vertical="center"/>
    </xf>
    <xf numFmtId="2" fontId="19" fillId="34" borderId="10" xfId="42" applyNumberFormat="1" applyFont="1" applyFill="1" applyBorder="1" applyAlignment="1">
      <alignment vertical="top" wrapText="1"/>
    </xf>
    <xf numFmtId="2" fontId="0" fillId="0" borderId="0" xfId="0" applyNumberFormat="1" applyAlignment="1">
      <alignment vertical="top" wrapText="1"/>
    </xf>
    <xf numFmtId="44" fontId="0" fillId="0" borderId="10" xfId="42" applyFont="1" applyBorder="1" applyAlignment="1">
      <alignment vertical="top" wrapText="1"/>
    </xf>
    <xf numFmtId="0" fontId="0" fillId="0" borderId="10" xfId="42" applyNumberFormat="1" applyFont="1" applyBorder="1" applyAlignment="1">
      <alignment vertical="top" wrapText="1"/>
    </xf>
    <xf numFmtId="10" fontId="21" fillId="0" borderId="10" xfId="0" applyNumberFormat="1" applyFont="1" applyFill="1" applyBorder="1" applyAlignment="1">
      <alignment horizontal="right" vertical="center"/>
    </xf>
    <xf numFmtId="44" fontId="0" fillId="0" borderId="10" xfId="42" applyFont="1" applyBorder="1" applyAlignment="1">
      <alignment horizontal="center" vertical="top" wrapText="1"/>
    </xf>
    <xf numFmtId="10" fontId="0" fillId="0" borderId="10" xfId="43" applyNumberFormat="1" applyFont="1" applyBorder="1"/>
    <xf numFmtId="10" fontId="21" fillId="0" borderId="10" xfId="0" applyNumberFormat="1" applyFont="1" applyBorder="1" applyAlignment="1">
      <alignment horizontal="center"/>
    </xf>
    <xf numFmtId="44" fontId="0" fillId="0" borderId="10" xfId="42" applyFont="1" applyFill="1" applyBorder="1" applyAlignment="1" applyProtection="1">
      <alignment vertical="center"/>
    </xf>
    <xf numFmtId="0" fontId="0" fillId="0" borderId="10" xfId="42" applyNumberFormat="1" applyFont="1" applyFill="1" applyBorder="1" applyAlignment="1" applyProtection="1">
      <alignment vertical="center"/>
    </xf>
    <xf numFmtId="44" fontId="0" fillId="0" borderId="10" xfId="42" applyFont="1" applyFill="1" applyBorder="1" applyAlignment="1" applyProtection="1">
      <alignment horizontal="center" vertical="center"/>
    </xf>
    <xf numFmtId="10" fontId="22" fillId="0" borderId="10" xfId="0" applyNumberFormat="1" applyFont="1" applyBorder="1" applyAlignment="1">
      <alignment horizontal="center"/>
    </xf>
    <xf numFmtId="0" fontId="0" fillId="0" borderId="10" xfId="0" applyBorder="1" applyAlignment="1">
      <alignment horizontal="center" vertical="top" wrapText="1"/>
    </xf>
    <xf numFmtId="2" fontId="0" fillId="0" borderId="10" xfId="0" applyNumberFormat="1" applyBorder="1" applyAlignment="1">
      <alignment vertical="top" wrapText="1"/>
    </xf>
    <xf numFmtId="2" fontId="0" fillId="0" borderId="10" xfId="0" applyNumberFormat="1" applyBorder="1" applyAlignment="1">
      <alignment vertical="center"/>
    </xf>
    <xf numFmtId="44" fontId="0" fillId="36" borderId="11" xfId="0" applyNumberFormat="1" applyFont="1" applyFill="1" applyBorder="1" applyAlignment="1" applyProtection="1">
      <alignment horizontal="center" vertical="center"/>
    </xf>
    <xf numFmtId="44" fontId="0" fillId="37" borderId="11" xfId="0" applyNumberFormat="1" applyFont="1" applyFill="1" applyBorder="1" applyAlignment="1" applyProtection="1">
      <alignment horizontal="center" vertical="center"/>
    </xf>
    <xf numFmtId="44" fontId="0" fillId="35" borderId="11" xfId="0" applyNumberFormat="1" applyFont="1" applyFill="1" applyBorder="1" applyAlignment="1" applyProtection="1">
      <alignment horizontal="center" vertical="center"/>
    </xf>
    <xf numFmtId="0" fontId="0" fillId="34" borderId="12" xfId="0" applyFill="1" applyBorder="1" applyAlignment="1">
      <alignment vertical="center"/>
    </xf>
  </cellXfs>
  <cellStyles count="4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Monétaire" xfId="42" builtinId="4"/>
    <cellStyle name="Neutre" xfId="8" builtinId="28" customBuiltin="1"/>
    <cellStyle name="Normal" xfId="0" builtinId="0" customBuiltin="1"/>
    <cellStyle name="Note" xfId="15" builtinId="10" customBuiltin="1"/>
    <cellStyle name="Pourcentage" xfId="43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5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97"/>
  <sheetViews>
    <sheetView tabSelected="1" zoomScale="80" zoomScaleNormal="80" workbookViewId="0">
      <selection activeCell="A73" sqref="A73:C73"/>
    </sheetView>
  </sheetViews>
  <sheetFormatPr baseColWidth="10" defaultColWidth="11.42578125" defaultRowHeight="12.75" x14ac:dyDescent="0.2"/>
  <cols>
    <col min="1" max="1" width="13.28515625" style="1" customWidth="1"/>
    <col min="2" max="2" width="19" style="1" hidden="1" customWidth="1"/>
    <col min="3" max="3" width="13.28515625" style="1" customWidth="1"/>
    <col min="4" max="4" width="38.140625" style="1" customWidth="1"/>
    <col min="5" max="5" width="28.5703125" style="1" customWidth="1"/>
    <col min="6" max="6" width="19" style="1" customWidth="1"/>
    <col min="7" max="8" width="28.5703125" style="1" customWidth="1"/>
    <col min="9" max="9" width="10.7109375" style="20" customWidth="1"/>
    <col min="10" max="10" width="12.7109375" style="8" customWidth="1"/>
    <col min="11" max="11" width="9.5703125" style="11" customWidth="1"/>
    <col min="12" max="12" width="9.5703125" style="1" customWidth="1"/>
    <col min="13" max="13" width="11.85546875" style="9" customWidth="1"/>
    <col min="14" max="16" width="11.85546875" style="3" customWidth="1"/>
    <col min="17" max="17" width="11.85546875" style="15" customWidth="1"/>
    <col min="18" max="18" width="11.85546875" style="3" customWidth="1"/>
    <col min="19" max="21" width="9.5703125" style="1" customWidth="1"/>
    <col min="22" max="22" width="11.42578125" style="1" customWidth="1"/>
    <col min="23" max="23" width="9.5703125" style="1" customWidth="1"/>
    <col min="24" max="24" width="17.140625" style="1" customWidth="1"/>
    <col min="25" max="30" width="9.5703125" style="1" customWidth="1"/>
    <col min="31" max="31" width="133.28515625" style="1" customWidth="1"/>
    <col min="32" max="32" width="28.5703125" style="1" customWidth="1"/>
    <col min="33" max="33" width="12.7109375" style="1" customWidth="1"/>
    <col min="34" max="38" width="9.5703125" style="1" customWidth="1"/>
    <col min="39" max="39" width="16.140625" style="1" customWidth="1"/>
    <col min="40" max="40" width="9.5703125" style="1" customWidth="1"/>
  </cols>
  <sheetData>
    <row r="1" spans="1:40" ht="51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19" t="s">
        <v>36</v>
      </c>
      <c r="J1" s="7" t="s">
        <v>38</v>
      </c>
      <c r="K1" s="10" t="s">
        <v>37</v>
      </c>
      <c r="L1" s="4" t="s">
        <v>32</v>
      </c>
      <c r="M1" s="5" t="s">
        <v>39</v>
      </c>
      <c r="N1" s="5" t="s">
        <v>29</v>
      </c>
      <c r="O1" s="16" t="s">
        <v>33</v>
      </c>
      <c r="P1" s="16" t="s">
        <v>34</v>
      </c>
      <c r="Q1" s="5" t="s">
        <v>30</v>
      </c>
      <c r="R1" s="6" t="s">
        <v>31</v>
      </c>
      <c r="S1" s="2" t="s">
        <v>7</v>
      </c>
      <c r="T1" s="2" t="s">
        <v>8</v>
      </c>
      <c r="U1" s="2" t="s">
        <v>9</v>
      </c>
      <c r="V1" s="2" t="s">
        <v>10</v>
      </c>
      <c r="W1" s="2" t="s">
        <v>11</v>
      </c>
      <c r="X1" s="2" t="s">
        <v>12</v>
      </c>
      <c r="Y1" s="2" t="s">
        <v>13</v>
      </c>
      <c r="Z1" s="2" t="s">
        <v>14</v>
      </c>
      <c r="AA1" s="2" t="s">
        <v>15</v>
      </c>
      <c r="AB1" s="2" t="s">
        <v>16</v>
      </c>
      <c r="AC1" s="2" t="s">
        <v>17</v>
      </c>
      <c r="AD1" s="2" t="s">
        <v>18</v>
      </c>
      <c r="AE1" s="2" t="s">
        <v>19</v>
      </c>
      <c r="AF1" s="2" t="s">
        <v>21</v>
      </c>
      <c r="AG1" s="2" t="s">
        <v>35</v>
      </c>
      <c r="AH1" s="2" t="s">
        <v>22</v>
      </c>
      <c r="AI1" s="2" t="s">
        <v>23</v>
      </c>
      <c r="AJ1" s="2" t="s">
        <v>24</v>
      </c>
      <c r="AK1" s="2" t="s">
        <v>25</v>
      </c>
      <c r="AL1" s="2" t="s">
        <v>26</v>
      </c>
      <c r="AM1" s="2" t="s">
        <v>27</v>
      </c>
      <c r="AN1" s="2" t="s">
        <v>28</v>
      </c>
    </row>
    <row r="2" spans="1:40" ht="15" x14ac:dyDescent="0.25">
      <c r="A2" s="37" t="s">
        <v>237</v>
      </c>
      <c r="B2" s="37" t="s">
        <v>238</v>
      </c>
      <c r="C2" s="37" t="s">
        <v>481</v>
      </c>
      <c r="D2" s="18" t="s">
        <v>239</v>
      </c>
      <c r="E2" s="18" t="s">
        <v>43</v>
      </c>
      <c r="F2" s="18" t="s">
        <v>54</v>
      </c>
      <c r="G2" s="18" t="s">
        <v>240</v>
      </c>
      <c r="H2" s="18" t="s">
        <v>241</v>
      </c>
      <c r="I2" s="32">
        <v>0.77700000000000002</v>
      </c>
      <c r="J2" s="21">
        <v>0.86</v>
      </c>
      <c r="K2" s="22">
        <v>5.5</v>
      </c>
      <c r="L2" s="23">
        <f>SUM(((K2)/1.2)-(J2))/((K2)/1.2)</f>
        <v>0.8123636363636364</v>
      </c>
      <c r="M2" s="24">
        <v>0.81399999999999995</v>
      </c>
      <c r="N2" s="25">
        <f>(M2-I2)/I2</f>
        <v>4.7619047619047519E-2</v>
      </c>
      <c r="O2" s="26">
        <v>0.11</v>
      </c>
      <c r="P2" s="17">
        <f>M2+(M2*O2)</f>
        <v>0.9035399999999999</v>
      </c>
      <c r="Q2" s="34">
        <v>5.5</v>
      </c>
      <c r="R2" s="13">
        <f>SUM(((Q2)/1.2)-(P2))/((Q2)/1.2)</f>
        <v>0.80286400000000002</v>
      </c>
      <c r="S2" s="18">
        <v>982</v>
      </c>
      <c r="T2" s="18" t="s">
        <v>356</v>
      </c>
      <c r="U2" s="18" t="s">
        <v>357</v>
      </c>
      <c r="V2" s="18" t="s">
        <v>388</v>
      </c>
      <c r="W2" s="18">
        <v>478</v>
      </c>
      <c r="X2" s="18" t="s">
        <v>484</v>
      </c>
      <c r="Y2" s="18">
        <v>480</v>
      </c>
      <c r="Z2" s="18">
        <v>0</v>
      </c>
      <c r="AA2" s="18">
        <v>418</v>
      </c>
      <c r="AB2" s="18">
        <v>102</v>
      </c>
      <c r="AC2" s="18">
        <v>279</v>
      </c>
      <c r="AD2" s="18">
        <v>20</v>
      </c>
      <c r="AE2" s="18" t="s">
        <v>485</v>
      </c>
      <c r="AF2" s="18" t="s">
        <v>482</v>
      </c>
      <c r="AG2" s="18">
        <v>0.77700000000000002</v>
      </c>
      <c r="AH2" s="18" t="s">
        <v>362</v>
      </c>
      <c r="AI2" s="18" t="s">
        <v>363</v>
      </c>
      <c r="AJ2" s="18" t="s">
        <v>483</v>
      </c>
      <c r="AK2" s="18" t="s">
        <v>365</v>
      </c>
      <c r="AL2" s="18" t="s">
        <v>381</v>
      </c>
      <c r="AM2" s="18" t="s">
        <v>367</v>
      </c>
      <c r="AN2" s="18" t="s">
        <v>365</v>
      </c>
    </row>
    <row r="3" spans="1:40" s="14" customFormat="1" ht="15" x14ac:dyDescent="0.25">
      <c r="A3" s="37" t="s">
        <v>242</v>
      </c>
      <c r="B3" s="37" t="s">
        <v>243</v>
      </c>
      <c r="C3" s="37" t="s">
        <v>481</v>
      </c>
      <c r="D3" s="18" t="s">
        <v>244</v>
      </c>
      <c r="E3" s="18" t="s">
        <v>43</v>
      </c>
      <c r="F3" s="18" t="s">
        <v>54</v>
      </c>
      <c r="G3" s="18" t="s">
        <v>240</v>
      </c>
      <c r="H3" s="18" t="s">
        <v>241</v>
      </c>
      <c r="I3" s="32">
        <v>0.77600000000000002</v>
      </c>
      <c r="J3" s="21">
        <v>0.86</v>
      </c>
      <c r="K3" s="22">
        <v>5.5</v>
      </c>
      <c r="L3" s="23">
        <f>SUM(((K3)/1.2)-(J3))/((K3)/1.2)</f>
        <v>0.8123636363636364</v>
      </c>
      <c r="M3" s="24">
        <v>0.81299999999999994</v>
      </c>
      <c r="N3" s="25">
        <f>(M3-I3)/I3</f>
        <v>4.7680412371133921E-2</v>
      </c>
      <c r="O3" s="26">
        <v>0.11</v>
      </c>
      <c r="P3" s="17">
        <f>M3+(M3*O3)</f>
        <v>0.90242999999999995</v>
      </c>
      <c r="Q3" s="34">
        <v>5.5</v>
      </c>
      <c r="R3" s="13">
        <f>SUM(((Q3)/1.2)-(P3))/((Q3)/1.2)</f>
        <v>0.80310618181818183</v>
      </c>
      <c r="S3" s="18">
        <v>972</v>
      </c>
      <c r="T3" s="18" t="s">
        <v>356</v>
      </c>
      <c r="U3" s="18" t="s">
        <v>357</v>
      </c>
      <c r="V3" s="18" t="s">
        <v>388</v>
      </c>
      <c r="W3" s="18">
        <v>376</v>
      </c>
      <c r="X3" s="18" t="s">
        <v>486</v>
      </c>
      <c r="Y3" s="18">
        <v>40</v>
      </c>
      <c r="Z3" s="18">
        <v>20</v>
      </c>
      <c r="AA3" s="18">
        <v>316</v>
      </c>
      <c r="AB3" s="18">
        <v>120</v>
      </c>
      <c r="AC3" s="18">
        <v>205</v>
      </c>
      <c r="AD3" s="18">
        <v>20</v>
      </c>
      <c r="AE3" s="18" t="s">
        <v>487</v>
      </c>
      <c r="AF3" s="18" t="s">
        <v>482</v>
      </c>
      <c r="AG3" s="18">
        <v>0.77600000000000002</v>
      </c>
      <c r="AH3" s="18" t="s">
        <v>362</v>
      </c>
      <c r="AI3" s="18" t="s">
        <v>363</v>
      </c>
      <c r="AJ3" s="18" t="s">
        <v>483</v>
      </c>
      <c r="AK3" s="18" t="s">
        <v>365</v>
      </c>
      <c r="AL3" s="18" t="s">
        <v>381</v>
      </c>
      <c r="AM3" s="18" t="s">
        <v>367</v>
      </c>
      <c r="AN3" s="18" t="s">
        <v>365</v>
      </c>
    </row>
    <row r="4" spans="1:40" s="14" customFormat="1" ht="15" x14ac:dyDescent="0.25">
      <c r="A4" s="37" t="s">
        <v>248</v>
      </c>
      <c r="B4" s="37" t="s">
        <v>249</v>
      </c>
      <c r="C4" s="37" t="s">
        <v>481</v>
      </c>
      <c r="D4" s="18" t="s">
        <v>250</v>
      </c>
      <c r="E4" s="18" t="s">
        <v>43</v>
      </c>
      <c r="F4" s="18" t="s">
        <v>54</v>
      </c>
      <c r="G4" s="18" t="s">
        <v>251</v>
      </c>
      <c r="H4" s="18" t="s">
        <v>241</v>
      </c>
      <c r="I4" s="33">
        <v>1.2</v>
      </c>
      <c r="J4" s="27">
        <v>1.31</v>
      </c>
      <c r="K4" s="28">
        <v>3.95</v>
      </c>
      <c r="L4" s="23">
        <f>SUM(((K4)/1.2)-(J4))/((K4)/1.2)</f>
        <v>0.60202531645569624</v>
      </c>
      <c r="M4" s="29">
        <v>1.238</v>
      </c>
      <c r="N4" s="25">
        <f>(M4-I4)/I4</f>
        <v>3.1666666666666697E-2</v>
      </c>
      <c r="O4" s="26">
        <v>0.09</v>
      </c>
      <c r="P4" s="17">
        <f>M4+(M4*O4)</f>
        <v>1.3494200000000001</v>
      </c>
      <c r="Q4" s="34">
        <v>3.95</v>
      </c>
      <c r="R4" s="13">
        <f>SUM(((Q4)/1.2)-(P4))/((Q4)/1.2)</f>
        <v>0.59004962025316454</v>
      </c>
      <c r="S4" s="18">
        <v>740</v>
      </c>
      <c r="T4" s="18" t="s">
        <v>356</v>
      </c>
      <c r="U4" s="18" t="s">
        <v>357</v>
      </c>
      <c r="V4" s="18" t="s">
        <v>358</v>
      </c>
      <c r="W4" s="18">
        <v>520</v>
      </c>
      <c r="X4" s="18" t="s">
        <v>490</v>
      </c>
      <c r="Y4" s="18">
        <v>305</v>
      </c>
      <c r="Z4" s="18">
        <v>18</v>
      </c>
      <c r="AA4" s="18">
        <v>244</v>
      </c>
      <c r="AB4" s="18">
        <v>234</v>
      </c>
      <c r="AC4" s="18">
        <v>157</v>
      </c>
      <c r="AD4" s="18">
        <v>9</v>
      </c>
      <c r="AE4" s="18" t="s">
        <v>491</v>
      </c>
      <c r="AF4" s="18" t="s">
        <v>482</v>
      </c>
      <c r="AG4" s="18">
        <v>1.2</v>
      </c>
      <c r="AH4" s="18" t="s">
        <v>362</v>
      </c>
      <c r="AI4" s="18" t="s">
        <v>363</v>
      </c>
      <c r="AJ4" s="18" t="s">
        <v>483</v>
      </c>
      <c r="AK4" s="18" t="s">
        <v>365</v>
      </c>
      <c r="AL4" s="18" t="s">
        <v>366</v>
      </c>
      <c r="AM4" s="18" t="s">
        <v>367</v>
      </c>
      <c r="AN4" s="18" t="s">
        <v>365</v>
      </c>
    </row>
    <row r="5" spans="1:40" s="14" customFormat="1" ht="15" x14ac:dyDescent="0.25">
      <c r="A5" s="37" t="s">
        <v>252</v>
      </c>
      <c r="B5" s="37" t="s">
        <v>253</v>
      </c>
      <c r="C5" s="37" t="s">
        <v>481</v>
      </c>
      <c r="D5" s="18" t="s">
        <v>254</v>
      </c>
      <c r="E5" s="18" t="s">
        <v>43</v>
      </c>
      <c r="F5" s="18" t="s">
        <v>54</v>
      </c>
      <c r="G5" s="18" t="s">
        <v>255</v>
      </c>
      <c r="H5" s="18" t="s">
        <v>241</v>
      </c>
      <c r="I5" s="32">
        <v>2.7869999999999999</v>
      </c>
      <c r="J5" s="21">
        <v>4.4000000000000004</v>
      </c>
      <c r="K5" s="22">
        <v>9.5</v>
      </c>
      <c r="L5" s="23">
        <f>SUM(((K5)/1.2)-(J5))/((K5)/1.2)</f>
        <v>0.44421052631578944</v>
      </c>
      <c r="M5" s="24">
        <v>3.4239999999999999</v>
      </c>
      <c r="N5" s="25">
        <f>(M5-I5)/I5</f>
        <v>0.22856117689271618</v>
      </c>
      <c r="O5" s="26">
        <v>0.58000000000000007</v>
      </c>
      <c r="P5" s="17">
        <f>M5+(M5*O5)</f>
        <v>5.4099199999999996</v>
      </c>
      <c r="Q5" s="34">
        <v>11.95</v>
      </c>
      <c r="R5" s="13">
        <f>SUM(((Q5)/1.2)-(P5))/((Q5)/1.2)</f>
        <v>0.45674443514644358</v>
      </c>
      <c r="S5" s="18">
        <v>528</v>
      </c>
      <c r="T5" s="18" t="s">
        <v>356</v>
      </c>
      <c r="U5" s="18" t="s">
        <v>357</v>
      </c>
      <c r="V5" s="18" t="s">
        <v>358</v>
      </c>
      <c r="W5" s="18">
        <v>292</v>
      </c>
      <c r="X5" s="18" t="s">
        <v>492</v>
      </c>
      <c r="Y5" s="18">
        <v>48</v>
      </c>
      <c r="Z5" s="18">
        <v>0</v>
      </c>
      <c r="AA5" s="18">
        <v>254</v>
      </c>
      <c r="AB5" s="18">
        <v>76</v>
      </c>
      <c r="AC5" s="18">
        <v>161</v>
      </c>
      <c r="AD5" s="18">
        <v>6</v>
      </c>
      <c r="AE5" s="18" t="s">
        <v>493</v>
      </c>
      <c r="AF5" s="18" t="s">
        <v>482</v>
      </c>
      <c r="AG5" s="18">
        <v>2.7869999999999999</v>
      </c>
      <c r="AH5" s="18" t="s">
        <v>362</v>
      </c>
      <c r="AI5" s="18" t="s">
        <v>363</v>
      </c>
      <c r="AJ5" s="18" t="s">
        <v>483</v>
      </c>
      <c r="AK5" s="18" t="s">
        <v>365</v>
      </c>
      <c r="AL5" s="18" t="s">
        <v>381</v>
      </c>
      <c r="AM5" s="18" t="s">
        <v>367</v>
      </c>
      <c r="AN5" s="18" t="s">
        <v>365</v>
      </c>
    </row>
    <row r="6" spans="1:40" s="14" customFormat="1" ht="15" x14ac:dyDescent="0.25">
      <c r="A6" s="37" t="s">
        <v>256</v>
      </c>
      <c r="B6" s="37" t="s">
        <v>257</v>
      </c>
      <c r="C6" s="37" t="s">
        <v>481</v>
      </c>
      <c r="D6" s="18" t="s">
        <v>258</v>
      </c>
      <c r="E6" s="18" t="s">
        <v>43</v>
      </c>
      <c r="F6" s="18" t="s">
        <v>44</v>
      </c>
      <c r="G6" s="18" t="s">
        <v>236</v>
      </c>
      <c r="H6" s="18" t="s">
        <v>103</v>
      </c>
      <c r="I6" s="32">
        <v>3.625</v>
      </c>
      <c r="J6" s="21">
        <v>4.17</v>
      </c>
      <c r="K6" s="22">
        <v>8.9499999999999993</v>
      </c>
      <c r="L6" s="23">
        <f>SUM(((K6)/1.2)-(J6))/((K6)/1.2)</f>
        <v>0.44089385474860332</v>
      </c>
      <c r="M6" s="24">
        <v>3.7970000000000002</v>
      </c>
      <c r="N6" s="25">
        <f>(M6-I6)/I6</f>
        <v>4.7448275862069005E-2</v>
      </c>
      <c r="O6" s="26">
        <v>0.15000000000000002</v>
      </c>
      <c r="P6" s="17">
        <f>M6+(M6*O6)</f>
        <v>4.3665500000000002</v>
      </c>
      <c r="Q6" s="34">
        <v>9.9499999999999993</v>
      </c>
      <c r="R6" s="13">
        <f>SUM(((Q6)/1.2)-(P6))/((Q6)/1.2)</f>
        <v>0.473380904522613</v>
      </c>
      <c r="S6" s="18">
        <v>858</v>
      </c>
      <c r="T6" s="18" t="s">
        <v>356</v>
      </c>
      <c r="U6" s="18" t="s">
        <v>357</v>
      </c>
      <c r="V6" s="18" t="s">
        <v>388</v>
      </c>
      <c r="W6" s="18">
        <v>597</v>
      </c>
      <c r="X6" s="18" t="s">
        <v>494</v>
      </c>
      <c r="Y6" s="18">
        <v>510</v>
      </c>
      <c r="Z6" s="18">
        <v>30</v>
      </c>
      <c r="AA6" s="18">
        <v>650</v>
      </c>
      <c r="AB6" s="18">
        <v>237</v>
      </c>
      <c r="AC6" s="18">
        <v>432</v>
      </c>
      <c r="AD6" s="18">
        <v>10</v>
      </c>
      <c r="AE6" s="18" t="s">
        <v>495</v>
      </c>
      <c r="AF6" s="18" t="s">
        <v>482</v>
      </c>
      <c r="AG6" s="18">
        <v>3.625</v>
      </c>
      <c r="AH6" s="18" t="s">
        <v>362</v>
      </c>
      <c r="AI6" s="18" t="s">
        <v>363</v>
      </c>
      <c r="AJ6" s="18" t="s">
        <v>483</v>
      </c>
      <c r="AK6" s="18" t="s">
        <v>365</v>
      </c>
      <c r="AL6" s="18" t="s">
        <v>366</v>
      </c>
      <c r="AM6" s="18" t="s">
        <v>367</v>
      </c>
      <c r="AN6" s="18" t="s">
        <v>365</v>
      </c>
    </row>
    <row r="7" spans="1:40" s="14" customFormat="1" ht="15" x14ac:dyDescent="0.25">
      <c r="A7" s="37" t="s">
        <v>262</v>
      </c>
      <c r="B7" s="37" t="s">
        <v>263</v>
      </c>
      <c r="C7" s="37" t="s">
        <v>481</v>
      </c>
      <c r="D7" s="18" t="s">
        <v>264</v>
      </c>
      <c r="E7" s="18" t="s">
        <v>43</v>
      </c>
      <c r="F7" s="18" t="s">
        <v>44</v>
      </c>
      <c r="G7" s="18" t="s">
        <v>236</v>
      </c>
      <c r="H7" s="18" t="s">
        <v>103</v>
      </c>
      <c r="I7" s="32">
        <v>0.96599999999999997</v>
      </c>
      <c r="J7" s="21">
        <v>1.1100000000000001</v>
      </c>
      <c r="K7" s="22">
        <v>4.95</v>
      </c>
      <c r="L7" s="23">
        <f>SUM(((K7)/1.2)-(J7))/((K7)/1.2)</f>
        <v>0.73090909090909084</v>
      </c>
      <c r="M7" s="24">
        <v>1.016</v>
      </c>
      <c r="N7" s="25">
        <f>(M7-I7)/I7</f>
        <v>5.1759834368530065E-2</v>
      </c>
      <c r="O7" s="26">
        <v>0.15000000000000002</v>
      </c>
      <c r="P7" s="17">
        <f>M7+(M7*O7)</f>
        <v>1.1684000000000001</v>
      </c>
      <c r="Q7" s="34">
        <v>4.95</v>
      </c>
      <c r="R7" s="13">
        <f>SUM(((Q7)/1.2)-(P7))/((Q7)/1.2)</f>
        <v>0.71675151515151514</v>
      </c>
      <c r="S7" s="18">
        <v>486</v>
      </c>
      <c r="T7" s="18" t="s">
        <v>356</v>
      </c>
      <c r="U7" s="18" t="s">
        <v>357</v>
      </c>
      <c r="V7" s="18" t="s">
        <v>358</v>
      </c>
      <c r="W7" s="18">
        <v>285</v>
      </c>
      <c r="X7" s="18" t="s">
        <v>498</v>
      </c>
      <c r="Y7" s="18">
        <v>200</v>
      </c>
      <c r="Z7" s="18">
        <v>0</v>
      </c>
      <c r="AA7" s="18">
        <v>208</v>
      </c>
      <c r="AB7" s="18">
        <v>96</v>
      </c>
      <c r="AC7" s="18">
        <v>133</v>
      </c>
      <c r="AD7" s="18">
        <v>10</v>
      </c>
      <c r="AE7" s="18" t="s">
        <v>499</v>
      </c>
      <c r="AF7" s="18" t="s">
        <v>482</v>
      </c>
      <c r="AG7" s="18">
        <v>0.96599999999999997</v>
      </c>
      <c r="AH7" s="18" t="s">
        <v>362</v>
      </c>
      <c r="AI7" s="18" t="s">
        <v>363</v>
      </c>
      <c r="AJ7" s="18" t="s">
        <v>483</v>
      </c>
      <c r="AK7" s="18" t="s">
        <v>365</v>
      </c>
      <c r="AL7" s="18" t="s">
        <v>366</v>
      </c>
      <c r="AM7" s="18" t="s">
        <v>367</v>
      </c>
      <c r="AN7" s="18" t="s">
        <v>365</v>
      </c>
    </row>
    <row r="8" spans="1:40" s="14" customFormat="1" ht="15" x14ac:dyDescent="0.25">
      <c r="A8" s="37" t="s">
        <v>265</v>
      </c>
      <c r="B8" s="37" t="s">
        <v>266</v>
      </c>
      <c r="C8" s="37" t="s">
        <v>481</v>
      </c>
      <c r="D8" s="18" t="s">
        <v>267</v>
      </c>
      <c r="E8" s="18" t="s">
        <v>43</v>
      </c>
      <c r="F8" s="18" t="s">
        <v>44</v>
      </c>
      <c r="G8" s="18" t="s">
        <v>236</v>
      </c>
      <c r="H8" s="18" t="s">
        <v>103</v>
      </c>
      <c r="I8" s="32">
        <v>1.5549999999999999</v>
      </c>
      <c r="J8" s="21">
        <v>1.79</v>
      </c>
      <c r="K8" s="22">
        <v>4.95</v>
      </c>
      <c r="L8" s="23">
        <f>SUM(((K8)/1.2)-(J8))/((K8)/1.2)</f>
        <v>0.56606060606060604</v>
      </c>
      <c r="M8" s="24">
        <v>1.5820000000000001</v>
      </c>
      <c r="N8" s="25">
        <f>(M8-I8)/I8</f>
        <v>1.7363344051447033E-2</v>
      </c>
      <c r="O8" s="26">
        <v>0.15000000000000002</v>
      </c>
      <c r="P8" s="17">
        <f>M8+(M8*O8)</f>
        <v>1.8193000000000001</v>
      </c>
      <c r="Q8" s="34">
        <v>4.95</v>
      </c>
      <c r="R8" s="13">
        <f>SUM(((Q8)/1.2)-(P8))/((Q8)/1.2)</f>
        <v>0.55895757575757576</v>
      </c>
      <c r="S8" s="18">
        <v>445</v>
      </c>
      <c r="T8" s="18" t="s">
        <v>356</v>
      </c>
      <c r="U8" s="18" t="s">
        <v>357</v>
      </c>
      <c r="V8" s="18" t="s">
        <v>427</v>
      </c>
      <c r="W8" s="18">
        <v>258</v>
      </c>
      <c r="X8" s="18" t="s">
        <v>500</v>
      </c>
      <c r="Y8" s="18">
        <v>180</v>
      </c>
      <c r="Z8" s="18">
        <v>10</v>
      </c>
      <c r="AA8" s="18">
        <v>188</v>
      </c>
      <c r="AB8" s="18">
        <v>71</v>
      </c>
      <c r="AC8" s="18">
        <v>121</v>
      </c>
      <c r="AD8" s="18">
        <v>10</v>
      </c>
      <c r="AE8" s="18" t="s">
        <v>501</v>
      </c>
      <c r="AF8" s="18" t="s">
        <v>482</v>
      </c>
      <c r="AG8" s="18">
        <v>1.5549999999999999</v>
      </c>
      <c r="AH8" s="18" t="s">
        <v>362</v>
      </c>
      <c r="AI8" s="18" t="s">
        <v>363</v>
      </c>
      <c r="AJ8" s="18" t="s">
        <v>483</v>
      </c>
      <c r="AK8" s="18" t="s">
        <v>365</v>
      </c>
      <c r="AL8" s="18" t="s">
        <v>366</v>
      </c>
      <c r="AM8" s="18" t="s">
        <v>367</v>
      </c>
      <c r="AN8" s="18" t="s">
        <v>365</v>
      </c>
    </row>
    <row r="9" spans="1:40" s="14" customFormat="1" ht="15" x14ac:dyDescent="0.25">
      <c r="A9" s="37" t="s">
        <v>268</v>
      </c>
      <c r="B9" s="37" t="s">
        <v>269</v>
      </c>
      <c r="C9" s="37" t="s">
        <v>481</v>
      </c>
      <c r="D9" s="18" t="s">
        <v>270</v>
      </c>
      <c r="E9" s="18" t="s">
        <v>43</v>
      </c>
      <c r="F9" s="18" t="s">
        <v>271</v>
      </c>
      <c r="G9" s="18" t="s">
        <v>272</v>
      </c>
      <c r="H9" s="18" t="s">
        <v>241</v>
      </c>
      <c r="I9" s="32">
        <v>0.91500000000000004</v>
      </c>
      <c r="J9" s="21">
        <v>1.07</v>
      </c>
      <c r="K9" s="22">
        <v>4.95</v>
      </c>
      <c r="L9" s="23">
        <f>SUM(((K9)/1.2)-(J9))/((K9)/1.2)</f>
        <v>0.74060606060606049</v>
      </c>
      <c r="M9" s="24">
        <v>0.95299999999999996</v>
      </c>
      <c r="N9" s="25">
        <f>(M9-I9)/I9</f>
        <v>4.1530054644808655E-2</v>
      </c>
      <c r="O9" s="26">
        <v>0.17339113812729834</v>
      </c>
      <c r="P9" s="17">
        <f>M9+(M9*O9)</f>
        <v>1.1182417546353154</v>
      </c>
      <c r="Q9" s="34">
        <v>4.95</v>
      </c>
      <c r="R9" s="13">
        <f>SUM(((Q9)/1.2)-(P9))/((Q9)/1.2)</f>
        <v>0.72891108978537811</v>
      </c>
      <c r="S9" s="18">
        <v>992</v>
      </c>
      <c r="T9" s="18" t="s">
        <v>356</v>
      </c>
      <c r="U9" s="18" t="s">
        <v>357</v>
      </c>
      <c r="V9" s="18" t="s">
        <v>388</v>
      </c>
      <c r="W9" s="18">
        <v>594</v>
      </c>
      <c r="X9" s="18" t="s">
        <v>502</v>
      </c>
      <c r="Y9" s="18">
        <v>40</v>
      </c>
      <c r="Z9" s="18">
        <v>30</v>
      </c>
      <c r="AA9" s="18">
        <v>618</v>
      </c>
      <c r="AB9" s="18">
        <v>172</v>
      </c>
      <c r="AC9" s="18">
        <v>416</v>
      </c>
      <c r="AD9" s="18">
        <v>5</v>
      </c>
      <c r="AE9" s="18" t="s">
        <v>503</v>
      </c>
      <c r="AF9" s="18" t="s">
        <v>482</v>
      </c>
      <c r="AG9" s="18">
        <v>0.91500000000000004</v>
      </c>
      <c r="AH9" s="18" t="s">
        <v>362</v>
      </c>
      <c r="AI9" s="18" t="s">
        <v>363</v>
      </c>
      <c r="AJ9" s="18" t="s">
        <v>483</v>
      </c>
      <c r="AK9" s="18" t="s">
        <v>365</v>
      </c>
      <c r="AL9" s="18" t="s">
        <v>381</v>
      </c>
      <c r="AM9" s="18" t="s">
        <v>367</v>
      </c>
      <c r="AN9" s="18" t="s">
        <v>365</v>
      </c>
    </row>
    <row r="10" spans="1:40" s="14" customFormat="1" ht="15" x14ac:dyDescent="0.25">
      <c r="A10" s="37" t="s">
        <v>273</v>
      </c>
      <c r="B10" s="37" t="s">
        <v>274</v>
      </c>
      <c r="C10" s="37" t="s">
        <v>481</v>
      </c>
      <c r="D10" s="18" t="s">
        <v>275</v>
      </c>
      <c r="E10" s="18" t="s">
        <v>43</v>
      </c>
      <c r="F10" s="18" t="s">
        <v>271</v>
      </c>
      <c r="G10" s="18" t="s">
        <v>272</v>
      </c>
      <c r="H10" s="18" t="s">
        <v>241</v>
      </c>
      <c r="I10" s="32">
        <v>0.748</v>
      </c>
      <c r="J10" s="21">
        <v>0.88</v>
      </c>
      <c r="K10" s="22">
        <v>3.95</v>
      </c>
      <c r="L10" s="23">
        <f>SUM(((K10)/1.2)-(J10))/((K10)/1.2)</f>
        <v>0.73265822784810131</v>
      </c>
      <c r="M10" s="24">
        <v>0.76</v>
      </c>
      <c r="N10" s="25">
        <f>(M10-I10)/I10</f>
        <v>1.6042780748663117E-2</v>
      </c>
      <c r="O10" s="26">
        <v>0.17339113812729834</v>
      </c>
      <c r="P10" s="17">
        <f>M10+(M10*O10)</f>
        <v>0.89177726497674681</v>
      </c>
      <c r="Q10" s="34">
        <v>3.95</v>
      </c>
      <c r="R10" s="13">
        <f>SUM(((Q10)/1.2)-(P10))/((Q10)/1.2)</f>
        <v>0.72908032456402638</v>
      </c>
      <c r="S10" s="18">
        <v>847</v>
      </c>
      <c r="T10" s="18" t="s">
        <v>356</v>
      </c>
      <c r="U10" s="18" t="s">
        <v>357</v>
      </c>
      <c r="V10" s="18" t="s">
        <v>388</v>
      </c>
      <c r="W10" s="18">
        <v>658</v>
      </c>
      <c r="X10" s="18" t="s">
        <v>504</v>
      </c>
      <c r="Y10" s="18">
        <v>48</v>
      </c>
      <c r="Z10" s="18">
        <v>12</v>
      </c>
      <c r="AA10" s="18">
        <v>766</v>
      </c>
      <c r="AB10" s="18">
        <v>167</v>
      </c>
      <c r="AC10" s="18">
        <v>519</v>
      </c>
      <c r="AD10" s="18">
        <v>12</v>
      </c>
      <c r="AE10" s="18" t="s">
        <v>505</v>
      </c>
      <c r="AF10" s="18" t="s">
        <v>482</v>
      </c>
      <c r="AG10" s="18">
        <v>0.748</v>
      </c>
      <c r="AH10" s="18" t="s">
        <v>362</v>
      </c>
      <c r="AI10" s="18" t="s">
        <v>401</v>
      </c>
      <c r="AJ10" s="18" t="s">
        <v>483</v>
      </c>
      <c r="AK10" s="18" t="s">
        <v>365</v>
      </c>
      <c r="AL10" s="18" t="s">
        <v>381</v>
      </c>
      <c r="AM10" s="18" t="s">
        <v>367</v>
      </c>
      <c r="AN10" s="18" t="s">
        <v>365</v>
      </c>
    </row>
    <row r="11" spans="1:40" s="14" customFormat="1" ht="15" x14ac:dyDescent="0.25">
      <c r="A11" s="37" t="s">
        <v>276</v>
      </c>
      <c r="B11" s="37" t="s">
        <v>277</v>
      </c>
      <c r="C11" s="37" t="s">
        <v>481</v>
      </c>
      <c r="D11" s="18" t="s">
        <v>278</v>
      </c>
      <c r="E11" s="18" t="s">
        <v>43</v>
      </c>
      <c r="F11" s="18" t="s">
        <v>54</v>
      </c>
      <c r="G11" s="18" t="s">
        <v>255</v>
      </c>
      <c r="H11" s="18" t="s">
        <v>241</v>
      </c>
      <c r="I11" s="32">
        <v>2.2269999999999999</v>
      </c>
      <c r="J11" s="21">
        <v>3.52</v>
      </c>
      <c r="K11" s="22">
        <v>8.9499999999999993</v>
      </c>
      <c r="L11" s="23">
        <f>SUM(((K11)/1.2)-(J11))/((K11)/1.2)</f>
        <v>0.52804469273743015</v>
      </c>
      <c r="M11" s="24">
        <v>2.2530000000000001</v>
      </c>
      <c r="N11" s="25">
        <f>(M11-I11)/I11</f>
        <v>1.1674898967220586E-2</v>
      </c>
      <c r="O11" s="26">
        <v>0.58000000000000007</v>
      </c>
      <c r="P11" s="17">
        <f>M11+(M11*O11)</f>
        <v>3.5597400000000006</v>
      </c>
      <c r="Q11" s="34">
        <v>8.9499999999999993</v>
      </c>
      <c r="R11" s="13">
        <f>SUM(((Q11)/1.2)-(P11))/((Q11)/1.2)</f>
        <v>0.52271642458100553</v>
      </c>
      <c r="S11" s="18">
        <v>324</v>
      </c>
      <c r="T11" s="18" t="s">
        <v>356</v>
      </c>
      <c r="U11" s="18" t="s">
        <v>357</v>
      </c>
      <c r="V11" s="18" t="s">
        <v>388</v>
      </c>
      <c r="W11" s="18">
        <v>321</v>
      </c>
      <c r="X11" s="18" t="s">
        <v>506</v>
      </c>
      <c r="Y11" s="18">
        <v>10</v>
      </c>
      <c r="Z11" s="18">
        <v>0</v>
      </c>
      <c r="AA11" s="18">
        <v>276</v>
      </c>
      <c r="AB11" s="18">
        <v>120</v>
      </c>
      <c r="AC11" s="18">
        <v>176</v>
      </c>
      <c r="AD11" s="18">
        <v>10</v>
      </c>
      <c r="AE11" s="18" t="s">
        <v>507</v>
      </c>
      <c r="AF11" s="18" t="s">
        <v>482</v>
      </c>
      <c r="AG11" s="18">
        <v>2.2269999999999999</v>
      </c>
      <c r="AH11" s="18" t="s">
        <v>362</v>
      </c>
      <c r="AI11" s="18" t="s">
        <v>401</v>
      </c>
      <c r="AJ11" s="18" t="s">
        <v>483</v>
      </c>
      <c r="AK11" s="18" t="s">
        <v>365</v>
      </c>
      <c r="AL11" s="18" t="s">
        <v>381</v>
      </c>
      <c r="AM11" s="18" t="s">
        <v>367</v>
      </c>
      <c r="AN11" s="18" t="s">
        <v>365</v>
      </c>
    </row>
    <row r="12" spans="1:40" s="14" customFormat="1" ht="15" x14ac:dyDescent="0.25">
      <c r="A12" s="37" t="s">
        <v>293</v>
      </c>
      <c r="B12" s="37" t="s">
        <v>294</v>
      </c>
      <c r="C12" s="37" t="s">
        <v>481</v>
      </c>
      <c r="D12" s="18" t="s">
        <v>295</v>
      </c>
      <c r="E12" s="18" t="s">
        <v>43</v>
      </c>
      <c r="F12" s="18" t="s">
        <v>44</v>
      </c>
      <c r="G12" s="18" t="s">
        <v>236</v>
      </c>
      <c r="H12" s="18" t="s">
        <v>241</v>
      </c>
      <c r="I12" s="32">
        <v>0.94699999999999995</v>
      </c>
      <c r="J12" s="21">
        <v>1.0900000000000001</v>
      </c>
      <c r="K12" s="22">
        <v>2.95</v>
      </c>
      <c r="L12" s="23">
        <f>SUM(((K12)/1.2)-(J12))/((K12)/1.2)</f>
        <v>0.55661016949152542</v>
      </c>
      <c r="M12" s="24">
        <v>1.0089999999999999</v>
      </c>
      <c r="N12" s="25">
        <f>(M12-I12)/I12</f>
        <v>6.5469904963041128E-2</v>
      </c>
      <c r="O12" s="26">
        <v>0.15000000000000002</v>
      </c>
      <c r="P12" s="17">
        <f>M12+(M12*O12)</f>
        <v>1.16035</v>
      </c>
      <c r="Q12" s="34">
        <v>2.95</v>
      </c>
      <c r="R12" s="13">
        <f>SUM(((Q12)/1.2)-(P12))/((Q12)/1.2)</f>
        <v>0.5279932203389831</v>
      </c>
      <c r="S12" s="18">
        <v>567</v>
      </c>
      <c r="T12" s="18" t="s">
        <v>356</v>
      </c>
      <c r="U12" s="18" t="s">
        <v>357</v>
      </c>
      <c r="V12" s="18" t="s">
        <v>388</v>
      </c>
      <c r="W12" s="18">
        <v>549</v>
      </c>
      <c r="X12" s="18" t="s">
        <v>516</v>
      </c>
      <c r="Y12" s="18">
        <v>90</v>
      </c>
      <c r="Z12" s="18">
        <v>10</v>
      </c>
      <c r="AA12" s="18">
        <v>678</v>
      </c>
      <c r="AB12" s="18">
        <v>232</v>
      </c>
      <c r="AC12" s="18">
        <v>454</v>
      </c>
      <c r="AD12" s="18">
        <v>10</v>
      </c>
      <c r="AE12" s="18" t="s">
        <v>517</v>
      </c>
      <c r="AF12" s="18" t="s">
        <v>482</v>
      </c>
      <c r="AG12" s="18">
        <v>0.94699999999999995</v>
      </c>
      <c r="AH12" s="18" t="s">
        <v>362</v>
      </c>
      <c r="AI12" s="18" t="s">
        <v>401</v>
      </c>
      <c r="AJ12" s="18" t="s">
        <v>483</v>
      </c>
      <c r="AK12" s="18" t="s">
        <v>365</v>
      </c>
      <c r="AL12" s="18" t="s">
        <v>366</v>
      </c>
      <c r="AM12" s="18" t="s">
        <v>367</v>
      </c>
      <c r="AN12" s="18" t="s">
        <v>365</v>
      </c>
    </row>
    <row r="13" spans="1:40" s="14" customFormat="1" ht="15" x14ac:dyDescent="0.25">
      <c r="A13" s="37" t="s">
        <v>296</v>
      </c>
      <c r="B13" s="37" t="s">
        <v>297</v>
      </c>
      <c r="C13" s="37" t="s">
        <v>481</v>
      </c>
      <c r="D13" s="18" t="s">
        <v>298</v>
      </c>
      <c r="E13" s="18" t="s">
        <v>43</v>
      </c>
      <c r="F13" s="18" t="s">
        <v>54</v>
      </c>
      <c r="G13" s="18" t="s">
        <v>251</v>
      </c>
      <c r="H13" s="18" t="s">
        <v>241</v>
      </c>
      <c r="I13" s="32">
        <v>1.2509999999999999</v>
      </c>
      <c r="J13" s="21">
        <v>1.36</v>
      </c>
      <c r="K13" s="22">
        <v>3.95</v>
      </c>
      <c r="L13" s="23">
        <f>SUM(((K13)/1.2)-(J13))/((K13)/1.2)</f>
        <v>0.58683544303797464</v>
      </c>
      <c r="M13" s="24">
        <v>1.276</v>
      </c>
      <c r="N13" s="25">
        <f>(M13-I13)/I13</f>
        <v>1.9984012789768295E-2</v>
      </c>
      <c r="O13" s="26">
        <v>0.09</v>
      </c>
      <c r="P13" s="17">
        <f>M13+(M13*O13)</f>
        <v>1.3908400000000001</v>
      </c>
      <c r="Q13" s="34">
        <v>3.95</v>
      </c>
      <c r="R13" s="13">
        <f>SUM(((Q13)/1.2)-(P13))/((Q13)/1.2)</f>
        <v>0.57746632911392404</v>
      </c>
      <c r="S13" s="18">
        <v>667</v>
      </c>
      <c r="T13" s="18" t="s">
        <v>356</v>
      </c>
      <c r="U13" s="18" t="s">
        <v>357</v>
      </c>
      <c r="V13" s="18" t="s">
        <v>388</v>
      </c>
      <c r="W13" s="18">
        <v>447</v>
      </c>
      <c r="X13" s="18" t="s">
        <v>518</v>
      </c>
      <c r="Y13" s="18">
        <v>0</v>
      </c>
      <c r="Z13" s="18">
        <v>30</v>
      </c>
      <c r="AA13" s="18">
        <v>524</v>
      </c>
      <c r="AB13" s="18">
        <v>190</v>
      </c>
      <c r="AC13" s="18">
        <v>356</v>
      </c>
      <c r="AD13" s="18">
        <v>15</v>
      </c>
      <c r="AE13" s="18" t="s">
        <v>519</v>
      </c>
      <c r="AF13" s="18" t="s">
        <v>482</v>
      </c>
      <c r="AG13" s="18">
        <v>1.2509999999999999</v>
      </c>
      <c r="AH13" s="18" t="s">
        <v>362</v>
      </c>
      <c r="AI13" s="18" t="s">
        <v>401</v>
      </c>
      <c r="AJ13" s="18" t="s">
        <v>483</v>
      </c>
      <c r="AK13" s="18" t="s">
        <v>365</v>
      </c>
      <c r="AL13" s="18" t="s">
        <v>366</v>
      </c>
      <c r="AM13" s="18" t="s">
        <v>367</v>
      </c>
      <c r="AN13" s="18" t="s">
        <v>365</v>
      </c>
    </row>
    <row r="14" spans="1:40" s="14" customFormat="1" ht="15" x14ac:dyDescent="0.25">
      <c r="A14" s="37" t="s">
        <v>310</v>
      </c>
      <c r="B14" s="37" t="s">
        <v>311</v>
      </c>
      <c r="C14" s="37" t="s">
        <v>481</v>
      </c>
      <c r="D14" s="18" t="s">
        <v>312</v>
      </c>
      <c r="E14" s="18" t="s">
        <v>43</v>
      </c>
      <c r="F14" s="18" t="s">
        <v>166</v>
      </c>
      <c r="G14" s="18" t="s">
        <v>171</v>
      </c>
      <c r="H14" s="18" t="s">
        <v>103</v>
      </c>
      <c r="I14" s="32">
        <v>1.55</v>
      </c>
      <c r="J14" s="21">
        <v>1.71</v>
      </c>
      <c r="K14" s="22">
        <v>6.95</v>
      </c>
      <c r="L14" s="23">
        <f>SUM(((K14)/1.2)-(J14))/((K14)/1.2)</f>
        <v>0.70474820143884898</v>
      </c>
      <c r="M14" s="24">
        <v>1.5529999999999999</v>
      </c>
      <c r="N14" s="25">
        <f>(M14-I14)/I14</f>
        <v>1.9354838709676719E-3</v>
      </c>
      <c r="O14" s="30">
        <v>0.09</v>
      </c>
      <c r="P14" s="17">
        <f>M14+(M14*O14)</f>
        <v>1.6927699999999999</v>
      </c>
      <c r="Q14" s="34">
        <v>6.95</v>
      </c>
      <c r="R14" s="13">
        <f>SUM(((Q14)/1.2)-(P14))/((Q14)/1.2)</f>
        <v>0.70772316546762581</v>
      </c>
      <c r="S14" s="18">
        <v>430</v>
      </c>
      <c r="T14" s="18" t="s">
        <v>356</v>
      </c>
      <c r="U14" s="18" t="s">
        <v>357</v>
      </c>
      <c r="V14" s="18" t="s">
        <v>427</v>
      </c>
      <c r="W14" s="18">
        <v>259</v>
      </c>
      <c r="X14" s="18" t="s">
        <v>527</v>
      </c>
      <c r="Y14" s="18">
        <v>32</v>
      </c>
      <c r="Z14" s="18">
        <v>8</v>
      </c>
      <c r="AA14" s="18">
        <v>322</v>
      </c>
      <c r="AB14" s="18">
        <v>0</v>
      </c>
      <c r="AC14" s="18">
        <v>213</v>
      </c>
      <c r="AD14" s="18">
        <v>8</v>
      </c>
      <c r="AE14" s="18" t="s">
        <v>528</v>
      </c>
      <c r="AF14" s="18" t="s">
        <v>482</v>
      </c>
      <c r="AG14" s="18">
        <v>1.55</v>
      </c>
      <c r="AH14" s="18" t="s">
        <v>362</v>
      </c>
      <c r="AI14" s="18" t="s">
        <v>363</v>
      </c>
      <c r="AJ14" s="18" t="s">
        <v>402</v>
      </c>
      <c r="AK14" s="18" t="s">
        <v>365</v>
      </c>
      <c r="AL14" s="18" t="s">
        <v>381</v>
      </c>
      <c r="AM14" s="18" t="s">
        <v>367</v>
      </c>
      <c r="AN14" s="18" t="s">
        <v>365</v>
      </c>
    </row>
    <row r="15" spans="1:40" s="14" customFormat="1" ht="15" x14ac:dyDescent="0.25">
      <c r="A15" s="37" t="s">
        <v>233</v>
      </c>
      <c r="B15" s="37" t="s">
        <v>234</v>
      </c>
      <c r="C15" s="37" t="s">
        <v>481</v>
      </c>
      <c r="D15" s="18" t="s">
        <v>235</v>
      </c>
      <c r="E15" s="18" t="s">
        <v>43</v>
      </c>
      <c r="F15" s="18" t="s">
        <v>44</v>
      </c>
      <c r="G15" s="18" t="s">
        <v>236</v>
      </c>
      <c r="H15" s="18" t="s">
        <v>103</v>
      </c>
      <c r="I15" s="32">
        <v>2.1989999999999998</v>
      </c>
      <c r="J15" s="21">
        <v>2.5299999999999998</v>
      </c>
      <c r="K15" s="22">
        <v>6.5</v>
      </c>
      <c r="L15" s="23">
        <f>SUM(((K15)/1.2)-(J15))/((K15)/1.2)</f>
        <v>0.53292307692307694</v>
      </c>
      <c r="M15" s="24">
        <v>2.1989999999999998</v>
      </c>
      <c r="N15" s="25">
        <f>(M15-I15)/I15</f>
        <v>0</v>
      </c>
      <c r="O15" s="26">
        <v>0.15000000000000002</v>
      </c>
      <c r="P15" s="17">
        <f>M15+(M15*O15)</f>
        <v>2.5288499999999998</v>
      </c>
      <c r="Q15" s="12">
        <f>(P15*1.2)/(1-L15)</f>
        <v>6.4970454545454546</v>
      </c>
      <c r="R15" s="13">
        <f>SUM(((Q15)/1.2)-(P15))/((Q15)/1.2)</f>
        <v>0.53292307692307694</v>
      </c>
      <c r="S15" s="18">
        <v>234</v>
      </c>
      <c r="T15" s="18" t="s">
        <v>356</v>
      </c>
      <c r="U15" s="18" t="s">
        <v>357</v>
      </c>
      <c r="V15" s="18" t="s">
        <v>370</v>
      </c>
      <c r="W15" s="18">
        <v>132</v>
      </c>
      <c r="X15" s="18" t="s">
        <v>479</v>
      </c>
      <c r="Y15" s="18">
        <v>104</v>
      </c>
      <c r="Z15" s="18">
        <v>0</v>
      </c>
      <c r="AA15" s="18">
        <v>58</v>
      </c>
      <c r="AB15" s="18">
        <v>18</v>
      </c>
      <c r="AC15" s="18">
        <v>34</v>
      </c>
      <c r="AD15" s="18">
        <v>8</v>
      </c>
      <c r="AE15" s="18" t="s">
        <v>480</v>
      </c>
      <c r="AF15" s="18" t="s">
        <v>482</v>
      </c>
      <c r="AG15" s="18">
        <v>2.1989999999999998</v>
      </c>
      <c r="AH15" s="18" t="s">
        <v>362</v>
      </c>
      <c r="AI15" s="18" t="s">
        <v>363</v>
      </c>
      <c r="AJ15" s="18" t="s">
        <v>483</v>
      </c>
      <c r="AK15" s="18" t="s">
        <v>365</v>
      </c>
      <c r="AL15" s="18" t="s">
        <v>381</v>
      </c>
      <c r="AM15" s="18" t="s">
        <v>367</v>
      </c>
      <c r="AN15" s="18" t="s">
        <v>365</v>
      </c>
    </row>
    <row r="16" spans="1:40" s="14" customFormat="1" ht="15" x14ac:dyDescent="0.25">
      <c r="A16" s="37" t="s">
        <v>245</v>
      </c>
      <c r="B16" s="37" t="s">
        <v>246</v>
      </c>
      <c r="C16" s="37" t="s">
        <v>481</v>
      </c>
      <c r="D16" s="18" t="s">
        <v>247</v>
      </c>
      <c r="E16" s="18" t="s">
        <v>43</v>
      </c>
      <c r="F16" s="18" t="s">
        <v>166</v>
      </c>
      <c r="G16" s="18" t="s">
        <v>171</v>
      </c>
      <c r="H16" s="18" t="s">
        <v>103</v>
      </c>
      <c r="I16" s="33">
        <v>0.873</v>
      </c>
      <c r="J16" s="27">
        <v>0.95</v>
      </c>
      <c r="K16" s="28">
        <v>5.5</v>
      </c>
      <c r="L16" s="23">
        <f>SUM(((K16)/1.2)-(J16))/((K16)/1.2)</f>
        <v>0.79272727272727272</v>
      </c>
      <c r="M16" s="29">
        <v>0.873</v>
      </c>
      <c r="N16" s="25">
        <f>(M16-I16)/I16</f>
        <v>0</v>
      </c>
      <c r="O16" s="30">
        <v>0.09</v>
      </c>
      <c r="P16" s="17">
        <f>M16+(M16*O16)</f>
        <v>0.95157000000000003</v>
      </c>
      <c r="Q16" s="12">
        <f>(P16*1.2)/(1-L16)</f>
        <v>5.5090894736842095</v>
      </c>
      <c r="R16" s="13">
        <f>SUM(((Q16)/1.2)-(P16))/((Q16)/1.2)</f>
        <v>0.79272727272727261</v>
      </c>
      <c r="S16" s="18">
        <v>717</v>
      </c>
      <c r="T16" s="18" t="s">
        <v>356</v>
      </c>
      <c r="U16" s="18" t="s">
        <v>357</v>
      </c>
      <c r="V16" s="18" t="s">
        <v>388</v>
      </c>
      <c r="W16" s="18">
        <v>543</v>
      </c>
      <c r="X16" s="18" t="s">
        <v>488</v>
      </c>
      <c r="Y16" s="18">
        <v>440</v>
      </c>
      <c r="Z16" s="18">
        <v>140</v>
      </c>
      <c r="AA16" s="18">
        <v>616</v>
      </c>
      <c r="AB16" s="18">
        <v>168</v>
      </c>
      <c r="AC16" s="18">
        <v>415</v>
      </c>
      <c r="AD16" s="18">
        <v>20</v>
      </c>
      <c r="AE16" s="18" t="s">
        <v>489</v>
      </c>
      <c r="AF16" s="18" t="s">
        <v>482</v>
      </c>
      <c r="AG16" s="18">
        <v>0.873</v>
      </c>
      <c r="AH16" s="18" t="s">
        <v>362</v>
      </c>
      <c r="AI16" s="18" t="s">
        <v>401</v>
      </c>
      <c r="AJ16" s="18" t="s">
        <v>483</v>
      </c>
      <c r="AK16" s="18" t="s">
        <v>365</v>
      </c>
      <c r="AL16" s="18" t="s">
        <v>381</v>
      </c>
      <c r="AM16" s="18" t="s">
        <v>367</v>
      </c>
      <c r="AN16" s="18" t="s">
        <v>365</v>
      </c>
    </row>
    <row r="17" spans="1:40" s="14" customFormat="1" ht="15" x14ac:dyDescent="0.25">
      <c r="A17" s="37" t="s">
        <v>259</v>
      </c>
      <c r="B17" s="37" t="s">
        <v>260</v>
      </c>
      <c r="C17" s="37" t="s">
        <v>481</v>
      </c>
      <c r="D17" s="18" t="s">
        <v>261</v>
      </c>
      <c r="E17" s="18" t="s">
        <v>43</v>
      </c>
      <c r="F17" s="18" t="s">
        <v>44</v>
      </c>
      <c r="G17" s="18" t="s">
        <v>236</v>
      </c>
      <c r="H17" s="18" t="s">
        <v>103</v>
      </c>
      <c r="I17" s="32">
        <v>4.4530000000000003</v>
      </c>
      <c r="J17" s="21">
        <v>5.12</v>
      </c>
      <c r="K17" s="22">
        <v>9.9499999999999993</v>
      </c>
      <c r="L17" s="23">
        <f>SUM(((K17)/1.2)-(J17))/((K17)/1.2)</f>
        <v>0.38251256281407031</v>
      </c>
      <c r="M17" s="24">
        <v>4.4530000000000003</v>
      </c>
      <c r="N17" s="25">
        <f>(M17-I17)/I17</f>
        <v>0</v>
      </c>
      <c r="O17" s="26">
        <v>0.15000000000000002</v>
      </c>
      <c r="P17" s="17">
        <f>M17+(M17*O17)</f>
        <v>5.1209500000000006</v>
      </c>
      <c r="Q17" s="12">
        <f>(P17*1.2)/(1-L17)</f>
        <v>9.9518461914062506</v>
      </c>
      <c r="R17" s="13">
        <f>SUM(((Q17)/1.2)-(P17))/((Q17)/1.2)</f>
        <v>0.38251256281407037</v>
      </c>
      <c r="S17" s="18">
        <v>654</v>
      </c>
      <c r="T17" s="18" t="s">
        <v>356</v>
      </c>
      <c r="U17" s="18" t="s">
        <v>357</v>
      </c>
      <c r="V17" s="18" t="s">
        <v>388</v>
      </c>
      <c r="W17" s="18">
        <v>418</v>
      </c>
      <c r="X17" s="18" t="s">
        <v>496</v>
      </c>
      <c r="Y17" s="18">
        <v>330</v>
      </c>
      <c r="Z17" s="18">
        <v>10</v>
      </c>
      <c r="AA17" s="18">
        <v>326</v>
      </c>
      <c r="AB17" s="18">
        <v>109</v>
      </c>
      <c r="AC17" s="18">
        <v>210</v>
      </c>
      <c r="AD17" s="18">
        <v>10</v>
      </c>
      <c r="AE17" s="18" t="s">
        <v>497</v>
      </c>
      <c r="AF17" s="18" t="s">
        <v>482</v>
      </c>
      <c r="AG17" s="18">
        <v>4.4530000000000003</v>
      </c>
      <c r="AH17" s="18" t="s">
        <v>362</v>
      </c>
      <c r="AI17" s="18" t="s">
        <v>363</v>
      </c>
      <c r="AJ17" s="18" t="s">
        <v>483</v>
      </c>
      <c r="AK17" s="18" t="s">
        <v>365</v>
      </c>
      <c r="AL17" s="18" t="s">
        <v>366</v>
      </c>
      <c r="AM17" s="18" t="s">
        <v>367</v>
      </c>
      <c r="AN17" s="18" t="s">
        <v>365</v>
      </c>
    </row>
    <row r="18" spans="1:40" s="14" customFormat="1" ht="15" x14ac:dyDescent="0.25">
      <c r="A18" s="37" t="s">
        <v>279</v>
      </c>
      <c r="B18" s="37" t="s">
        <v>280</v>
      </c>
      <c r="C18" s="37" t="s">
        <v>481</v>
      </c>
      <c r="D18" s="18" t="s">
        <v>281</v>
      </c>
      <c r="E18" s="18" t="s">
        <v>43</v>
      </c>
      <c r="F18" s="18" t="s">
        <v>54</v>
      </c>
      <c r="G18" s="18" t="s">
        <v>255</v>
      </c>
      <c r="H18" s="18" t="s">
        <v>241</v>
      </c>
      <c r="I18" s="32">
        <v>2.113</v>
      </c>
      <c r="J18" s="21">
        <v>3.34</v>
      </c>
      <c r="K18" s="22">
        <v>7.5</v>
      </c>
      <c r="L18" s="23">
        <f>SUM(((K18)/1.2)-(J18))/((K18)/1.2)</f>
        <v>0.46560000000000001</v>
      </c>
      <c r="M18" s="24">
        <v>2.113</v>
      </c>
      <c r="N18" s="25">
        <f>(M18-I18)/I18</f>
        <v>0</v>
      </c>
      <c r="O18" s="26">
        <v>0.58000000000000007</v>
      </c>
      <c r="P18" s="17">
        <f>M18+(M18*O18)</f>
        <v>3.3385400000000001</v>
      </c>
      <c r="Q18" s="12">
        <f>(P18*1.2)/(1-L18)</f>
        <v>7.4967215568862287</v>
      </c>
      <c r="R18" s="13">
        <f>SUM(((Q18)/1.2)-(P18))/((Q18)/1.2)</f>
        <v>0.46560000000000012</v>
      </c>
      <c r="S18" s="18">
        <v>486</v>
      </c>
      <c r="T18" s="18" t="s">
        <v>356</v>
      </c>
      <c r="U18" s="18" t="s">
        <v>357</v>
      </c>
      <c r="V18" s="18" t="s">
        <v>357</v>
      </c>
      <c r="W18" s="18">
        <v>214</v>
      </c>
      <c r="X18" s="18" t="s">
        <v>508</v>
      </c>
      <c r="Y18" s="18">
        <v>100</v>
      </c>
      <c r="Z18" s="18">
        <v>10</v>
      </c>
      <c r="AA18" s="18">
        <v>170</v>
      </c>
      <c r="AB18" s="18">
        <v>63</v>
      </c>
      <c r="AC18" s="18">
        <v>108</v>
      </c>
      <c r="AD18" s="18">
        <v>10</v>
      </c>
      <c r="AE18" s="18" t="s">
        <v>509</v>
      </c>
      <c r="AF18" s="18" t="s">
        <v>482</v>
      </c>
      <c r="AG18" s="18">
        <v>2.113</v>
      </c>
      <c r="AH18" s="18" t="s">
        <v>362</v>
      </c>
      <c r="AI18" s="18" t="s">
        <v>363</v>
      </c>
      <c r="AJ18" s="18" t="s">
        <v>483</v>
      </c>
      <c r="AK18" s="18" t="s">
        <v>365</v>
      </c>
      <c r="AL18" s="18" t="s">
        <v>381</v>
      </c>
      <c r="AM18" s="18" t="s">
        <v>367</v>
      </c>
      <c r="AN18" s="18" t="s">
        <v>365</v>
      </c>
    </row>
    <row r="19" spans="1:40" s="14" customFormat="1" ht="15" x14ac:dyDescent="0.25">
      <c r="A19" s="37" t="s">
        <v>282</v>
      </c>
      <c r="B19" s="37" t="s">
        <v>283</v>
      </c>
      <c r="C19" s="37" t="s">
        <v>481</v>
      </c>
      <c r="D19" s="18" t="s">
        <v>284</v>
      </c>
      <c r="E19" s="18" t="s">
        <v>43</v>
      </c>
      <c r="F19" s="18" t="s">
        <v>44</v>
      </c>
      <c r="G19" s="18" t="s">
        <v>285</v>
      </c>
      <c r="H19" s="18" t="s">
        <v>241</v>
      </c>
      <c r="I19" s="32">
        <v>4.2409999999999997</v>
      </c>
      <c r="J19" s="21">
        <v>6.4</v>
      </c>
      <c r="K19" s="22">
        <v>12.95</v>
      </c>
      <c r="L19" s="23">
        <f>SUM(((K19)/1.2)-(J19))/((K19)/1.2)</f>
        <v>0.40694980694980687</v>
      </c>
      <c r="M19" s="24">
        <v>4.2409999999999997</v>
      </c>
      <c r="N19" s="25">
        <f>(M19-I19)/I19</f>
        <v>0</v>
      </c>
      <c r="O19" s="26">
        <v>0.51</v>
      </c>
      <c r="P19" s="17">
        <f>M19+(M19*O19)</f>
        <v>6.4039099999999998</v>
      </c>
      <c r="Q19" s="12">
        <f>(P19*1.2)/(1-L19)</f>
        <v>12.957911640624998</v>
      </c>
      <c r="R19" s="13">
        <f>SUM(((Q19)/1.2)-(P19))/((Q19)/1.2)</f>
        <v>0.40694980694980692</v>
      </c>
      <c r="S19" s="18">
        <v>610</v>
      </c>
      <c r="T19" s="18" t="s">
        <v>356</v>
      </c>
      <c r="U19" s="18" t="s">
        <v>357</v>
      </c>
      <c r="V19" s="18" t="s">
        <v>358</v>
      </c>
      <c r="W19" s="18">
        <v>148</v>
      </c>
      <c r="X19" s="18" t="s">
        <v>510</v>
      </c>
      <c r="Y19" s="18">
        <v>16</v>
      </c>
      <c r="Z19" s="18">
        <v>0</v>
      </c>
      <c r="AA19" s="18">
        <v>106</v>
      </c>
      <c r="AB19" s="18">
        <v>19</v>
      </c>
      <c r="AC19" s="18">
        <v>65</v>
      </c>
      <c r="AD19" s="18">
        <v>8</v>
      </c>
      <c r="AE19" s="18" t="s">
        <v>511</v>
      </c>
      <c r="AF19" s="18" t="s">
        <v>482</v>
      </c>
      <c r="AG19" s="18">
        <v>4.2409999999999997</v>
      </c>
      <c r="AH19" s="18" t="s">
        <v>362</v>
      </c>
      <c r="AI19" s="18" t="s">
        <v>363</v>
      </c>
      <c r="AJ19" s="18" t="s">
        <v>483</v>
      </c>
      <c r="AK19" s="18" t="s">
        <v>365</v>
      </c>
      <c r="AL19" s="18" t="s">
        <v>381</v>
      </c>
      <c r="AM19" s="18" t="s">
        <v>367</v>
      </c>
      <c r="AN19" s="18" t="s">
        <v>365</v>
      </c>
    </row>
    <row r="20" spans="1:40" s="14" customFormat="1" ht="15" x14ac:dyDescent="0.25">
      <c r="A20" s="37" t="s">
        <v>286</v>
      </c>
      <c r="B20" s="37" t="s">
        <v>287</v>
      </c>
      <c r="C20" s="37" t="s">
        <v>481</v>
      </c>
      <c r="D20" s="18" t="s">
        <v>288</v>
      </c>
      <c r="E20" s="18" t="s">
        <v>43</v>
      </c>
      <c r="F20" s="18" t="s">
        <v>54</v>
      </c>
      <c r="G20" s="18" t="s">
        <v>255</v>
      </c>
      <c r="H20" s="18" t="s">
        <v>241</v>
      </c>
      <c r="I20" s="32">
        <v>4.2409999999999997</v>
      </c>
      <c r="J20" s="21">
        <v>6.7</v>
      </c>
      <c r="K20" s="22">
        <v>12.95</v>
      </c>
      <c r="L20" s="23">
        <f>SUM(((K20)/1.2)-(J20))/((K20)/1.2)</f>
        <v>0.37915057915057909</v>
      </c>
      <c r="M20" s="24">
        <v>4.2409999999999997</v>
      </c>
      <c r="N20" s="25">
        <f>(M20-I20)/I20</f>
        <v>0</v>
      </c>
      <c r="O20" s="26">
        <v>0.58000000000000007</v>
      </c>
      <c r="P20" s="17">
        <f>M20+(M20*O20)</f>
        <v>6.70078</v>
      </c>
      <c r="Q20" s="12">
        <f>(P20*1.2)/(1-L20)</f>
        <v>12.951507611940299</v>
      </c>
      <c r="R20" s="13">
        <f>SUM(((Q20)/1.2)-(P20))/((Q20)/1.2)</f>
        <v>0.37915057915057915</v>
      </c>
      <c r="S20" s="18">
        <v>806</v>
      </c>
      <c r="T20" s="18" t="s">
        <v>356</v>
      </c>
      <c r="U20" s="18" t="s">
        <v>357</v>
      </c>
      <c r="V20" s="18" t="s">
        <v>388</v>
      </c>
      <c r="W20" s="18">
        <v>540</v>
      </c>
      <c r="X20" s="18" t="s">
        <v>512</v>
      </c>
      <c r="Y20" s="18">
        <v>304</v>
      </c>
      <c r="Z20" s="18">
        <v>24</v>
      </c>
      <c r="AA20" s="18">
        <v>678</v>
      </c>
      <c r="AB20" s="18">
        <v>207</v>
      </c>
      <c r="AC20" s="18">
        <v>457</v>
      </c>
      <c r="AD20" s="18">
        <v>8</v>
      </c>
      <c r="AE20" s="18" t="s">
        <v>513</v>
      </c>
      <c r="AF20" s="18" t="s">
        <v>482</v>
      </c>
      <c r="AG20" s="18">
        <v>4.2409999999999997</v>
      </c>
      <c r="AH20" s="18" t="s">
        <v>362</v>
      </c>
      <c r="AI20" s="18" t="s">
        <v>363</v>
      </c>
      <c r="AJ20" s="18" t="s">
        <v>483</v>
      </c>
      <c r="AK20" s="18" t="s">
        <v>365</v>
      </c>
      <c r="AL20" s="18" t="s">
        <v>381</v>
      </c>
      <c r="AM20" s="18" t="s">
        <v>367</v>
      </c>
      <c r="AN20" s="18" t="s">
        <v>365</v>
      </c>
    </row>
    <row r="21" spans="1:40" s="14" customFormat="1" ht="15" x14ac:dyDescent="0.25">
      <c r="A21" s="37" t="s">
        <v>289</v>
      </c>
      <c r="B21" s="37" t="s">
        <v>290</v>
      </c>
      <c r="C21" s="37" t="s">
        <v>481</v>
      </c>
      <c r="D21" s="18" t="s">
        <v>291</v>
      </c>
      <c r="E21" s="18" t="s">
        <v>43</v>
      </c>
      <c r="F21" s="18" t="s">
        <v>137</v>
      </c>
      <c r="G21" s="18" t="s">
        <v>292</v>
      </c>
      <c r="H21" s="18" t="s">
        <v>241</v>
      </c>
      <c r="I21" s="32">
        <v>1.2070000000000001</v>
      </c>
      <c r="J21" s="21">
        <v>1.4</v>
      </c>
      <c r="K21" s="22">
        <v>5.5</v>
      </c>
      <c r="L21" s="23">
        <f>SUM(((K21)/1.2)-(J21))/((K21)/1.2)</f>
        <v>0.69454545454545458</v>
      </c>
      <c r="M21" s="24">
        <v>1.2070000000000001</v>
      </c>
      <c r="N21" s="25">
        <f>(M21-I21)/I21</f>
        <v>0</v>
      </c>
      <c r="O21" s="26">
        <v>0.16</v>
      </c>
      <c r="P21" s="17">
        <f>M21+(M21*O21)</f>
        <v>1.40012</v>
      </c>
      <c r="Q21" s="12">
        <f>(P21*1.2)/(1-L21)</f>
        <v>5.5004714285714291</v>
      </c>
      <c r="R21" s="13">
        <f>SUM(((Q21)/1.2)-(P21))/((Q21)/1.2)</f>
        <v>0.69454545454545447</v>
      </c>
      <c r="S21" s="18">
        <v>496</v>
      </c>
      <c r="T21" s="18" t="s">
        <v>356</v>
      </c>
      <c r="U21" s="18" t="s">
        <v>357</v>
      </c>
      <c r="V21" s="18" t="s">
        <v>358</v>
      </c>
      <c r="W21" s="18">
        <v>255</v>
      </c>
      <c r="X21" s="18" t="s">
        <v>514</v>
      </c>
      <c r="Y21" s="18">
        <v>20</v>
      </c>
      <c r="Z21" s="18">
        <v>20</v>
      </c>
      <c r="AA21" s="18">
        <v>194</v>
      </c>
      <c r="AB21" s="18">
        <v>39</v>
      </c>
      <c r="AC21" s="18">
        <v>125</v>
      </c>
      <c r="AD21" s="18">
        <v>10</v>
      </c>
      <c r="AE21" s="18" t="s">
        <v>515</v>
      </c>
      <c r="AF21" s="18" t="s">
        <v>482</v>
      </c>
      <c r="AG21" s="18">
        <v>1.2070000000000001</v>
      </c>
      <c r="AH21" s="18" t="s">
        <v>362</v>
      </c>
      <c r="AI21" s="18" t="s">
        <v>363</v>
      </c>
      <c r="AJ21" s="18" t="s">
        <v>483</v>
      </c>
      <c r="AK21" s="18" t="s">
        <v>365</v>
      </c>
      <c r="AL21" s="18" t="s">
        <v>381</v>
      </c>
      <c r="AM21" s="18" t="s">
        <v>367</v>
      </c>
      <c r="AN21" s="18" t="s">
        <v>365</v>
      </c>
    </row>
    <row r="22" spans="1:40" s="14" customFormat="1" ht="15" x14ac:dyDescent="0.25">
      <c r="A22" s="37" t="s">
        <v>299</v>
      </c>
      <c r="B22" s="37" t="s">
        <v>300</v>
      </c>
      <c r="C22" s="37" t="s">
        <v>481</v>
      </c>
      <c r="D22" s="18" t="s">
        <v>301</v>
      </c>
      <c r="E22" s="18" t="s">
        <v>43</v>
      </c>
      <c r="F22" s="18" t="s">
        <v>54</v>
      </c>
      <c r="G22" s="18" t="s">
        <v>240</v>
      </c>
      <c r="H22" s="18" t="s">
        <v>241</v>
      </c>
      <c r="I22" s="32">
        <v>1.125</v>
      </c>
      <c r="J22" s="21">
        <v>1.25</v>
      </c>
      <c r="K22" s="22">
        <v>5.95</v>
      </c>
      <c r="L22" s="23">
        <f>SUM(((K22)/1.2)-(J22))/((K22)/1.2)</f>
        <v>0.74789915966386555</v>
      </c>
      <c r="M22" s="24">
        <v>1.125</v>
      </c>
      <c r="N22" s="25">
        <f>(M22-I22)/I22</f>
        <v>0</v>
      </c>
      <c r="O22" s="26">
        <v>0.11</v>
      </c>
      <c r="P22" s="17">
        <f>M22+(M22*O22)</f>
        <v>1.24875</v>
      </c>
      <c r="Q22" s="12">
        <f>(P22*1.2)/(1-L22)</f>
        <v>5.9440499999999998</v>
      </c>
      <c r="R22" s="13">
        <f>SUM(((Q22)/1.2)-(P22))/((Q22)/1.2)</f>
        <v>0.74789915966386555</v>
      </c>
      <c r="S22" s="18">
        <v>584</v>
      </c>
      <c r="T22" s="18" t="s">
        <v>356</v>
      </c>
      <c r="U22" s="18" t="s">
        <v>357</v>
      </c>
      <c r="V22" s="18" t="s">
        <v>388</v>
      </c>
      <c r="W22" s="18">
        <v>377</v>
      </c>
      <c r="X22" s="18" t="s">
        <v>520</v>
      </c>
      <c r="Y22" s="18">
        <v>304</v>
      </c>
      <c r="Z22" s="18">
        <v>16</v>
      </c>
      <c r="AA22" s="18">
        <v>316</v>
      </c>
      <c r="AB22" s="18">
        <v>108</v>
      </c>
      <c r="AC22" s="18">
        <v>207</v>
      </c>
      <c r="AD22" s="18">
        <v>8</v>
      </c>
      <c r="AE22" s="18" t="s">
        <v>521</v>
      </c>
      <c r="AF22" s="18" t="s">
        <v>482</v>
      </c>
      <c r="AG22" s="18">
        <v>1.125</v>
      </c>
      <c r="AH22" s="18" t="s">
        <v>362</v>
      </c>
      <c r="AI22" s="18" t="s">
        <v>363</v>
      </c>
      <c r="AJ22" s="18" t="s">
        <v>365</v>
      </c>
      <c r="AK22" s="18" t="s">
        <v>365</v>
      </c>
      <c r="AL22" s="18" t="s">
        <v>381</v>
      </c>
      <c r="AM22" s="18" t="s">
        <v>367</v>
      </c>
      <c r="AN22" s="18" t="s">
        <v>365</v>
      </c>
    </row>
    <row r="23" spans="1:40" s="14" customFormat="1" ht="15" x14ac:dyDescent="0.25">
      <c r="A23" s="37" t="s">
        <v>302</v>
      </c>
      <c r="B23" s="37" t="s">
        <v>303</v>
      </c>
      <c r="C23" s="37" t="s">
        <v>481</v>
      </c>
      <c r="D23" s="18" t="s">
        <v>304</v>
      </c>
      <c r="E23" s="18" t="s">
        <v>43</v>
      </c>
      <c r="F23" s="18" t="s">
        <v>54</v>
      </c>
      <c r="G23" s="18" t="s">
        <v>251</v>
      </c>
      <c r="H23" s="18" t="s">
        <v>241</v>
      </c>
      <c r="I23" s="32">
        <v>1.976</v>
      </c>
      <c r="J23" s="21">
        <v>2.15</v>
      </c>
      <c r="K23" s="22">
        <v>6.95</v>
      </c>
      <c r="L23" s="23">
        <f>SUM(((K23)/1.2)-(J23))/((K23)/1.2)</f>
        <v>0.62877697841726621</v>
      </c>
      <c r="M23" s="24">
        <v>1.976</v>
      </c>
      <c r="N23" s="25">
        <f>(M23-I23)/I23</f>
        <v>0</v>
      </c>
      <c r="O23" s="26">
        <v>0.09</v>
      </c>
      <c r="P23" s="17">
        <f>M23+(M23*O23)</f>
        <v>2.1538399999999998</v>
      </c>
      <c r="Q23" s="12">
        <f>(P23*1.2)/(1-L23)</f>
        <v>6.9624130232558139</v>
      </c>
      <c r="R23" s="13">
        <f>SUM(((Q23)/1.2)-(P23))/((Q23)/1.2)</f>
        <v>0.62877697841726621</v>
      </c>
      <c r="S23" s="18">
        <v>466</v>
      </c>
      <c r="T23" s="18" t="s">
        <v>356</v>
      </c>
      <c r="U23" s="18" t="s">
        <v>357</v>
      </c>
      <c r="V23" s="18" t="s">
        <v>388</v>
      </c>
      <c r="W23" s="18">
        <v>307</v>
      </c>
      <c r="X23" s="18" t="s">
        <v>522</v>
      </c>
      <c r="Y23" s="18">
        <v>32</v>
      </c>
      <c r="Z23" s="18">
        <v>8</v>
      </c>
      <c r="AA23" s="18">
        <v>310</v>
      </c>
      <c r="AB23" s="18">
        <v>110</v>
      </c>
      <c r="AC23" s="18">
        <v>206</v>
      </c>
      <c r="AD23" s="18">
        <v>8</v>
      </c>
      <c r="AE23" s="18" t="s">
        <v>523</v>
      </c>
      <c r="AF23" s="18" t="s">
        <v>482</v>
      </c>
      <c r="AG23" s="18">
        <v>1.976</v>
      </c>
      <c r="AH23" s="18" t="s">
        <v>362</v>
      </c>
      <c r="AI23" s="18" t="s">
        <v>401</v>
      </c>
      <c r="AJ23" s="18" t="s">
        <v>483</v>
      </c>
      <c r="AK23" s="18" t="s">
        <v>365</v>
      </c>
      <c r="AL23" s="18" t="s">
        <v>366</v>
      </c>
      <c r="AM23" s="18" t="s">
        <v>367</v>
      </c>
      <c r="AN23" s="18" t="s">
        <v>365</v>
      </c>
    </row>
    <row r="24" spans="1:40" s="14" customFormat="1" ht="15" x14ac:dyDescent="0.25">
      <c r="A24" s="37" t="s">
        <v>305</v>
      </c>
      <c r="B24" s="37" t="s">
        <v>306</v>
      </c>
      <c r="C24" s="37" t="s">
        <v>481</v>
      </c>
      <c r="D24" s="18" t="s">
        <v>307</v>
      </c>
      <c r="E24" s="18" t="s">
        <v>43</v>
      </c>
      <c r="F24" s="18" t="s">
        <v>308</v>
      </c>
      <c r="G24" s="18" t="s">
        <v>309</v>
      </c>
      <c r="H24" s="18" t="s">
        <v>241</v>
      </c>
      <c r="I24" s="32">
        <v>0.91</v>
      </c>
      <c r="J24" s="21">
        <v>1.23</v>
      </c>
      <c r="K24" s="22">
        <v>2.95</v>
      </c>
      <c r="L24" s="23">
        <f>SUM(((K24)/1.2)-(J24))/((K24)/1.2)</f>
        <v>0.4996610169491526</v>
      </c>
      <c r="M24" s="24">
        <v>0.91</v>
      </c>
      <c r="N24" s="25">
        <f>(M24-I24)/I24</f>
        <v>0</v>
      </c>
      <c r="O24" s="26">
        <v>0.35106998440159209</v>
      </c>
      <c r="P24" s="17">
        <f>M24+(M24*O24)</f>
        <v>1.2294736858054489</v>
      </c>
      <c r="Q24" s="12">
        <f>(P24*1.2)/(1-L24)</f>
        <v>2.9487377017285166</v>
      </c>
      <c r="R24" s="13">
        <f>SUM(((Q24)/1.2)-(P24))/((Q24)/1.2)</f>
        <v>0.49966101694915277</v>
      </c>
      <c r="S24" s="18">
        <v>1183</v>
      </c>
      <c r="T24" s="18" t="s">
        <v>356</v>
      </c>
      <c r="U24" s="18" t="s">
        <v>357</v>
      </c>
      <c r="V24" s="18" t="s">
        <v>358</v>
      </c>
      <c r="W24" s="18">
        <v>438</v>
      </c>
      <c r="X24" s="18" t="s">
        <v>524</v>
      </c>
      <c r="Y24" s="18">
        <v>520</v>
      </c>
      <c r="Z24" s="18">
        <v>0</v>
      </c>
      <c r="AA24" s="18">
        <v>426</v>
      </c>
      <c r="AB24" s="18">
        <v>101</v>
      </c>
      <c r="AC24" s="18">
        <v>287</v>
      </c>
      <c r="AD24" s="18">
        <v>40</v>
      </c>
      <c r="AE24" s="18" t="s">
        <v>525</v>
      </c>
      <c r="AF24" s="18" t="s">
        <v>482</v>
      </c>
      <c r="AG24" s="18">
        <v>0.91</v>
      </c>
      <c r="AH24" s="18" t="s">
        <v>362</v>
      </c>
      <c r="AI24" s="18" t="s">
        <v>363</v>
      </c>
      <c r="AJ24" s="18" t="s">
        <v>526</v>
      </c>
      <c r="AK24" s="18" t="s">
        <v>365</v>
      </c>
      <c r="AL24" s="18" t="s">
        <v>381</v>
      </c>
      <c r="AM24" s="18" t="s">
        <v>367</v>
      </c>
      <c r="AN24" s="18" t="s">
        <v>365</v>
      </c>
    </row>
    <row r="25" spans="1:40" s="14" customFormat="1" ht="15" x14ac:dyDescent="0.25">
      <c r="A25" s="18" t="s">
        <v>184</v>
      </c>
      <c r="B25" s="18" t="s">
        <v>185</v>
      </c>
      <c r="C25" s="18" t="s">
        <v>361</v>
      </c>
      <c r="D25" s="18" t="s">
        <v>186</v>
      </c>
      <c r="E25" s="18" t="s">
        <v>43</v>
      </c>
      <c r="F25" s="18" t="s">
        <v>157</v>
      </c>
      <c r="G25" s="18" t="s">
        <v>187</v>
      </c>
      <c r="H25" s="18" t="s">
        <v>159</v>
      </c>
      <c r="I25" s="32">
        <v>10.752000000000001</v>
      </c>
      <c r="J25" s="21">
        <v>11.72</v>
      </c>
      <c r="K25" s="22">
        <v>25.95</v>
      </c>
      <c r="L25" s="23">
        <f>SUM(((K25)/1.2)-(J25))/((K25)/1.2)</f>
        <v>0.45803468208092485</v>
      </c>
      <c r="M25" s="24">
        <v>11.927</v>
      </c>
      <c r="N25" s="25">
        <f>(M25-I25)/I25</f>
        <v>0.10928199404761894</v>
      </c>
      <c r="O25" s="26">
        <v>0.09</v>
      </c>
      <c r="P25" s="17">
        <f>M25+(M25*O25)</f>
        <v>13.00043</v>
      </c>
      <c r="Q25" s="36">
        <v>28.95</v>
      </c>
      <c r="R25" s="13">
        <f>SUM(((Q25)/1.2)-(P25))/((Q25)/1.2)</f>
        <v>0.46112207253886012</v>
      </c>
      <c r="S25" s="18">
        <v>306</v>
      </c>
      <c r="T25" s="18" t="s">
        <v>356</v>
      </c>
      <c r="U25" s="18" t="s">
        <v>370</v>
      </c>
      <c r="V25" s="18" t="s">
        <v>452</v>
      </c>
      <c r="W25" s="18">
        <v>54</v>
      </c>
      <c r="X25" s="18" t="s">
        <v>463</v>
      </c>
      <c r="Y25" s="18">
        <v>4</v>
      </c>
      <c r="Z25" s="18">
        <v>2</v>
      </c>
      <c r="AA25" s="18">
        <v>12</v>
      </c>
      <c r="AB25" s="18">
        <v>0</v>
      </c>
      <c r="AC25" s="18">
        <v>5</v>
      </c>
      <c r="AD25" s="18">
        <v>1</v>
      </c>
      <c r="AE25" s="18" t="s">
        <v>454</v>
      </c>
      <c r="AF25" s="18" t="s">
        <v>46</v>
      </c>
      <c r="AG25" s="18">
        <v>10.752000000000001</v>
      </c>
      <c r="AH25" s="18" t="s">
        <v>362</v>
      </c>
      <c r="AI25" s="18" t="s">
        <v>363</v>
      </c>
      <c r="AJ25" s="18" t="s">
        <v>365</v>
      </c>
      <c r="AK25" s="18" t="s">
        <v>365</v>
      </c>
      <c r="AL25" s="18" t="s">
        <v>381</v>
      </c>
      <c r="AM25" s="18" t="s">
        <v>367</v>
      </c>
      <c r="AN25" s="18" t="s">
        <v>365</v>
      </c>
    </row>
    <row r="26" spans="1:40" s="14" customFormat="1" ht="15" x14ac:dyDescent="0.25">
      <c r="A26" s="18" t="s">
        <v>230</v>
      </c>
      <c r="B26" s="18" t="s">
        <v>231</v>
      </c>
      <c r="C26" s="18" t="s">
        <v>361</v>
      </c>
      <c r="D26" s="18" t="s">
        <v>232</v>
      </c>
      <c r="E26" s="18" t="s">
        <v>43</v>
      </c>
      <c r="F26" s="18" t="s">
        <v>157</v>
      </c>
      <c r="G26" s="18" t="s">
        <v>158</v>
      </c>
      <c r="H26" s="18" t="s">
        <v>159</v>
      </c>
      <c r="I26" s="32">
        <v>8.2799999999999994</v>
      </c>
      <c r="J26" s="21">
        <v>9.44</v>
      </c>
      <c r="K26" s="22">
        <v>19.899999999999999</v>
      </c>
      <c r="L26" s="23">
        <f>SUM(((K26)/1.2)-(J26))/((K26)/1.2)</f>
        <v>0.43075376884422112</v>
      </c>
      <c r="M26" s="24">
        <v>8.2750000000000004</v>
      </c>
      <c r="N26" s="25">
        <f>(M26-I26)/I26</f>
        <v>-6.0386473429939686E-4</v>
      </c>
      <c r="O26" s="26">
        <v>0.14000000000000001</v>
      </c>
      <c r="P26" s="17">
        <f>M26+(M26*O26)</f>
        <v>9.4335000000000004</v>
      </c>
      <c r="Q26" s="36">
        <v>19.95</v>
      </c>
      <c r="R26" s="13">
        <f>SUM(((Q26)/1.2)-(P26))/((Q26)/1.2)</f>
        <v>0.43257142857142855</v>
      </c>
      <c r="S26" s="18">
        <v>591</v>
      </c>
      <c r="T26" s="18" t="s">
        <v>356</v>
      </c>
      <c r="U26" s="18" t="s">
        <v>370</v>
      </c>
      <c r="V26" s="18" t="s">
        <v>393</v>
      </c>
      <c r="W26" s="18">
        <v>48</v>
      </c>
      <c r="X26" s="18" t="s">
        <v>478</v>
      </c>
      <c r="Y26" s="18">
        <v>1</v>
      </c>
      <c r="Z26" s="18">
        <v>0</v>
      </c>
      <c r="AA26" s="18">
        <v>0</v>
      </c>
      <c r="AB26" s="18">
        <v>0</v>
      </c>
      <c r="AC26" s="18">
        <v>1</v>
      </c>
      <c r="AD26" s="18">
        <v>1</v>
      </c>
      <c r="AE26" s="18" t="s">
        <v>454</v>
      </c>
      <c r="AF26" s="18" t="s">
        <v>46</v>
      </c>
      <c r="AG26" s="18">
        <v>8.2799999999999994</v>
      </c>
      <c r="AH26" s="18" t="s">
        <v>362</v>
      </c>
      <c r="AI26" s="18" t="s">
        <v>363</v>
      </c>
      <c r="AJ26" s="18" t="s">
        <v>365</v>
      </c>
      <c r="AK26" s="18" t="s">
        <v>365</v>
      </c>
      <c r="AL26" s="18" t="s">
        <v>381</v>
      </c>
      <c r="AM26" s="18" t="s">
        <v>367</v>
      </c>
      <c r="AN26" s="18" t="s">
        <v>365</v>
      </c>
    </row>
    <row r="27" spans="1:40" s="14" customFormat="1" ht="15" x14ac:dyDescent="0.25">
      <c r="A27" s="18" t="s">
        <v>181</v>
      </c>
      <c r="B27" s="18" t="s">
        <v>182</v>
      </c>
      <c r="C27" s="18" t="s">
        <v>361</v>
      </c>
      <c r="D27" s="18" t="s">
        <v>183</v>
      </c>
      <c r="E27" s="18" t="s">
        <v>43</v>
      </c>
      <c r="F27" s="18" t="s">
        <v>166</v>
      </c>
      <c r="G27" s="18" t="s">
        <v>167</v>
      </c>
      <c r="H27" s="18" t="s">
        <v>159</v>
      </c>
      <c r="I27" s="32">
        <v>5.9580000000000002</v>
      </c>
      <c r="J27" s="21">
        <v>6.49</v>
      </c>
      <c r="K27" s="22">
        <v>14.5</v>
      </c>
      <c r="L27" s="23">
        <f>SUM(((K27)/1.2)-(J27))/((K27)/1.2)</f>
        <v>0.46289655172413796</v>
      </c>
      <c r="M27" s="24">
        <v>6.6219999999999999</v>
      </c>
      <c r="N27" s="25">
        <f>(M27-I27)/I27</f>
        <v>0.11144679422625037</v>
      </c>
      <c r="O27" s="30">
        <v>0.09</v>
      </c>
      <c r="P27" s="17">
        <f>M27+(M27*O27)</f>
        <v>7.2179799999999998</v>
      </c>
      <c r="Q27" s="35">
        <v>14.95</v>
      </c>
      <c r="R27" s="13">
        <f>SUM(((Q27)/1.2)-(P27))/((Q27)/1.2)</f>
        <v>0.42063036789297664</v>
      </c>
      <c r="S27" s="18">
        <v>466</v>
      </c>
      <c r="T27" s="18" t="s">
        <v>356</v>
      </c>
      <c r="U27" s="18" t="s">
        <v>370</v>
      </c>
      <c r="V27" s="18" t="s">
        <v>374</v>
      </c>
      <c r="W27" s="18">
        <v>54</v>
      </c>
      <c r="X27" s="18" t="s">
        <v>462</v>
      </c>
      <c r="Y27" s="18">
        <v>0</v>
      </c>
      <c r="Z27" s="18">
        <v>2</v>
      </c>
      <c r="AA27" s="18">
        <v>10</v>
      </c>
      <c r="AB27" s="18">
        <v>0</v>
      </c>
      <c r="AC27" s="18">
        <v>4</v>
      </c>
      <c r="AD27" s="18">
        <v>1</v>
      </c>
      <c r="AE27" s="18" t="s">
        <v>454</v>
      </c>
      <c r="AF27" s="18" t="s">
        <v>46</v>
      </c>
      <c r="AG27" s="18">
        <v>5.9580000000000002</v>
      </c>
      <c r="AH27" s="18" t="s">
        <v>362</v>
      </c>
      <c r="AI27" s="18" t="s">
        <v>363</v>
      </c>
      <c r="AJ27" s="18" t="s">
        <v>365</v>
      </c>
      <c r="AK27" s="18" t="s">
        <v>365</v>
      </c>
      <c r="AL27" s="18" t="s">
        <v>381</v>
      </c>
      <c r="AM27" s="18" t="s">
        <v>367</v>
      </c>
      <c r="AN27" s="18" t="s">
        <v>365</v>
      </c>
    </row>
    <row r="28" spans="1:40" s="14" customFormat="1" ht="15" x14ac:dyDescent="0.25">
      <c r="A28" s="18" t="s">
        <v>40</v>
      </c>
      <c r="B28" s="18" t="s">
        <v>41</v>
      </c>
      <c r="C28" s="18" t="s">
        <v>361</v>
      </c>
      <c r="D28" s="18" t="s">
        <v>42</v>
      </c>
      <c r="E28" s="18" t="s">
        <v>43</v>
      </c>
      <c r="F28" s="18" t="s">
        <v>44</v>
      </c>
      <c r="G28" s="18" t="s">
        <v>45</v>
      </c>
      <c r="H28" s="18" t="s">
        <v>46</v>
      </c>
      <c r="I28" s="32">
        <v>2.746</v>
      </c>
      <c r="J28" s="21">
        <v>3.47</v>
      </c>
      <c r="K28" s="22">
        <v>9.5</v>
      </c>
      <c r="L28" s="23">
        <f>SUM(((K28)/1.2)-(J28))/((K28)/1.2)</f>
        <v>0.56168421052631579</v>
      </c>
      <c r="M28" s="24">
        <v>2.7759999999999998</v>
      </c>
      <c r="N28" s="25">
        <f>(M28-I28)/I28</f>
        <v>1.0924981791696943E-2</v>
      </c>
      <c r="O28" s="26">
        <v>0.26370989448793464</v>
      </c>
      <c r="P28" s="17">
        <f>M28+(M28*O28)</f>
        <v>3.5080586670985063</v>
      </c>
      <c r="Q28" s="34">
        <v>9.5</v>
      </c>
      <c r="R28" s="13">
        <f>SUM(((Q28)/1.2)-(P28))/((Q28)/1.2)</f>
        <v>0.55687679994545181</v>
      </c>
      <c r="S28" s="18">
        <v>201</v>
      </c>
      <c r="T28" s="18" t="s">
        <v>356</v>
      </c>
      <c r="U28" s="18" t="s">
        <v>357</v>
      </c>
      <c r="V28" s="18" t="s">
        <v>358</v>
      </c>
      <c r="W28" s="18">
        <v>171</v>
      </c>
      <c r="X28" s="18" t="s">
        <v>359</v>
      </c>
      <c r="Y28" s="18">
        <v>135</v>
      </c>
      <c r="Z28" s="18">
        <v>0</v>
      </c>
      <c r="AA28" s="18">
        <v>126</v>
      </c>
      <c r="AB28" s="18">
        <v>54</v>
      </c>
      <c r="AC28" s="18">
        <v>62</v>
      </c>
      <c r="AD28" s="18">
        <v>5</v>
      </c>
      <c r="AE28" s="18" t="s">
        <v>360</v>
      </c>
      <c r="AF28" s="18" t="s">
        <v>46</v>
      </c>
      <c r="AG28" s="18">
        <v>2.746</v>
      </c>
      <c r="AH28" s="18" t="s">
        <v>362</v>
      </c>
      <c r="AI28" s="18" t="s">
        <v>363</v>
      </c>
      <c r="AJ28" s="18" t="s">
        <v>364</v>
      </c>
      <c r="AK28" s="18" t="s">
        <v>365</v>
      </c>
      <c r="AL28" s="18" t="s">
        <v>366</v>
      </c>
      <c r="AM28" s="18" t="s">
        <v>367</v>
      </c>
      <c r="AN28" s="18" t="s">
        <v>365</v>
      </c>
    </row>
    <row r="29" spans="1:40" s="14" customFormat="1" ht="15" x14ac:dyDescent="0.25">
      <c r="A29" s="18" t="s">
        <v>47</v>
      </c>
      <c r="B29" s="18" t="s">
        <v>48</v>
      </c>
      <c r="C29" s="18" t="s">
        <v>361</v>
      </c>
      <c r="D29" s="18" t="s">
        <v>49</v>
      </c>
      <c r="E29" s="18" t="s">
        <v>43</v>
      </c>
      <c r="F29" s="18" t="s">
        <v>44</v>
      </c>
      <c r="G29" s="18" t="s">
        <v>50</v>
      </c>
      <c r="H29" s="18" t="s">
        <v>46</v>
      </c>
      <c r="I29" s="32">
        <v>8.4719999999999995</v>
      </c>
      <c r="J29" s="21">
        <v>11.9</v>
      </c>
      <c r="K29" s="22">
        <v>19.95</v>
      </c>
      <c r="L29" s="23">
        <f>SUM(((K29)/1.2)-(J29))/((K29)/1.2)</f>
        <v>0.28421052631578947</v>
      </c>
      <c r="M29" s="24">
        <v>8.5890000000000004</v>
      </c>
      <c r="N29" s="25">
        <f>(M29-I29)/I29</f>
        <v>1.3810198300283391E-2</v>
      </c>
      <c r="O29" s="26">
        <v>0.40495103315376946</v>
      </c>
      <c r="P29" s="17">
        <f>M29+(M29*O29)</f>
        <v>12.067124423757726</v>
      </c>
      <c r="Q29" s="34">
        <v>19.95</v>
      </c>
      <c r="R29" s="13">
        <f>SUM(((Q29)/1.2)-(P29))/((Q29)/1.2)</f>
        <v>0.27415792939803152</v>
      </c>
      <c r="S29" s="18">
        <v>237</v>
      </c>
      <c r="T29" s="18" t="s">
        <v>356</v>
      </c>
      <c r="U29" s="18" t="s">
        <v>357</v>
      </c>
      <c r="V29" s="18" t="s">
        <v>358</v>
      </c>
      <c r="W29" s="18">
        <v>209</v>
      </c>
      <c r="X29" s="18" t="s">
        <v>368</v>
      </c>
      <c r="Y29" s="18">
        <v>18</v>
      </c>
      <c r="Z29" s="18">
        <v>0</v>
      </c>
      <c r="AA29" s="18">
        <v>150</v>
      </c>
      <c r="AB29" s="18">
        <v>55</v>
      </c>
      <c r="AC29" s="18">
        <v>80</v>
      </c>
      <c r="AD29" s="18">
        <v>1</v>
      </c>
      <c r="AE29" s="18" t="s">
        <v>369</v>
      </c>
      <c r="AF29" s="18" t="s">
        <v>46</v>
      </c>
      <c r="AG29" s="18">
        <v>8.4719999999999995</v>
      </c>
      <c r="AH29" s="18" t="s">
        <v>362</v>
      </c>
      <c r="AI29" s="18" t="s">
        <v>363</v>
      </c>
      <c r="AJ29" s="18" t="s">
        <v>364</v>
      </c>
      <c r="AK29" s="18" t="s">
        <v>365</v>
      </c>
      <c r="AL29" s="18" t="s">
        <v>366</v>
      </c>
      <c r="AM29" s="18" t="s">
        <v>367</v>
      </c>
      <c r="AN29" s="18" t="s">
        <v>365</v>
      </c>
    </row>
    <row r="30" spans="1:40" s="14" customFormat="1" ht="15" x14ac:dyDescent="0.25">
      <c r="A30" s="18" t="s">
        <v>51</v>
      </c>
      <c r="B30" s="18" t="s">
        <v>52</v>
      </c>
      <c r="C30" s="18" t="s">
        <v>361</v>
      </c>
      <c r="D30" s="18" t="s">
        <v>53</v>
      </c>
      <c r="E30" s="18" t="s">
        <v>43</v>
      </c>
      <c r="F30" s="18" t="s">
        <v>54</v>
      </c>
      <c r="G30" s="18" t="s">
        <v>55</v>
      </c>
      <c r="H30" s="18" t="s">
        <v>46</v>
      </c>
      <c r="I30" s="32">
        <v>4.476</v>
      </c>
      <c r="J30" s="21">
        <v>5.46</v>
      </c>
      <c r="K30" s="22">
        <v>12.95</v>
      </c>
      <c r="L30" s="23">
        <f>SUM(((K30)/1.2)-(J30))/((K30)/1.2)</f>
        <v>0.494054054054054</v>
      </c>
      <c r="M30" s="24">
        <v>4.6429999999999998</v>
      </c>
      <c r="N30" s="25">
        <f>(M30-I30)/I30</f>
        <v>3.7310098302055367E-2</v>
      </c>
      <c r="O30" s="26">
        <v>0.22000000000000003</v>
      </c>
      <c r="P30" s="17">
        <f>M30+(M30*O30)</f>
        <v>5.6644600000000001</v>
      </c>
      <c r="Q30" s="34">
        <v>13.5</v>
      </c>
      <c r="R30" s="13">
        <f>SUM(((Q30)/1.2)-(P30))/((Q30)/1.2)</f>
        <v>0.49649244444444446</v>
      </c>
      <c r="S30" s="18">
        <v>101</v>
      </c>
      <c r="T30" s="18" t="s">
        <v>356</v>
      </c>
      <c r="U30" s="18" t="s">
        <v>370</v>
      </c>
      <c r="V30" s="18" t="s">
        <v>371</v>
      </c>
      <c r="W30" s="18">
        <v>284</v>
      </c>
      <c r="X30" s="18" t="s">
        <v>372</v>
      </c>
      <c r="Y30" s="18">
        <v>5</v>
      </c>
      <c r="Z30" s="18">
        <v>0</v>
      </c>
      <c r="AA30" s="18">
        <v>34</v>
      </c>
      <c r="AB30" s="18">
        <v>4</v>
      </c>
      <c r="AC30" s="18">
        <v>15</v>
      </c>
      <c r="AD30" s="18">
        <v>5</v>
      </c>
      <c r="AE30" s="18" t="s">
        <v>373</v>
      </c>
      <c r="AF30" s="18" t="s">
        <v>46</v>
      </c>
      <c r="AG30" s="18">
        <v>4.476</v>
      </c>
      <c r="AH30" s="18" t="s">
        <v>362</v>
      </c>
      <c r="AI30" s="18" t="s">
        <v>363</v>
      </c>
      <c r="AJ30" s="18" t="s">
        <v>364</v>
      </c>
      <c r="AK30" s="18" t="s">
        <v>365</v>
      </c>
      <c r="AL30" s="18" t="s">
        <v>366</v>
      </c>
      <c r="AM30" s="18" t="s">
        <v>367</v>
      </c>
      <c r="AN30" s="18" t="s">
        <v>365</v>
      </c>
    </row>
    <row r="31" spans="1:40" s="14" customFormat="1" ht="15" x14ac:dyDescent="0.25">
      <c r="A31" s="18" t="s">
        <v>56</v>
      </c>
      <c r="B31" s="18" t="s">
        <v>57</v>
      </c>
      <c r="C31" s="18" t="s">
        <v>361</v>
      </c>
      <c r="D31" s="18" t="s">
        <v>58</v>
      </c>
      <c r="E31" s="18" t="s">
        <v>43</v>
      </c>
      <c r="F31" s="18" t="s">
        <v>54</v>
      </c>
      <c r="G31" s="18" t="s">
        <v>55</v>
      </c>
      <c r="H31" s="18" t="s">
        <v>46</v>
      </c>
      <c r="I31" s="32">
        <v>10.212999999999999</v>
      </c>
      <c r="J31" s="21">
        <v>12.46</v>
      </c>
      <c r="K31" s="22">
        <v>21.95</v>
      </c>
      <c r="L31" s="23">
        <f>SUM(((K31)/1.2)-(J31))/((K31)/1.2)</f>
        <v>0.31881548974943053</v>
      </c>
      <c r="M31" s="24">
        <v>10.65</v>
      </c>
      <c r="N31" s="25">
        <f>(M31-I31)/I31</f>
        <v>4.2788602761186838E-2</v>
      </c>
      <c r="O31" s="26">
        <v>0.22000000000000003</v>
      </c>
      <c r="P31" s="17">
        <f>M31+(M31*O31)</f>
        <v>12.993</v>
      </c>
      <c r="Q31" s="34">
        <v>22.95</v>
      </c>
      <c r="R31" s="13">
        <f>SUM(((Q31)/1.2)-(P31))/((Q31)/1.2)</f>
        <v>0.32062745098039214</v>
      </c>
      <c r="S31" s="18">
        <v>80</v>
      </c>
      <c r="T31" s="18" t="s">
        <v>356</v>
      </c>
      <c r="U31" s="18" t="s">
        <v>374</v>
      </c>
      <c r="V31" s="18" t="s">
        <v>370</v>
      </c>
      <c r="W31" s="18">
        <v>150</v>
      </c>
      <c r="X31" s="18" t="s">
        <v>375</v>
      </c>
      <c r="Y31" s="18">
        <v>2</v>
      </c>
      <c r="Z31" s="18">
        <v>0</v>
      </c>
      <c r="AA31" s="18">
        <v>36</v>
      </c>
      <c r="AB31" s="18">
        <v>16</v>
      </c>
      <c r="AC31" s="18">
        <v>17</v>
      </c>
      <c r="AD31" s="18">
        <v>2</v>
      </c>
      <c r="AE31" s="18" t="s">
        <v>376</v>
      </c>
      <c r="AF31" s="18" t="s">
        <v>46</v>
      </c>
      <c r="AG31" s="18">
        <v>10.212999999999999</v>
      </c>
      <c r="AH31" s="18" t="s">
        <v>362</v>
      </c>
      <c r="AI31" s="18" t="s">
        <v>363</v>
      </c>
      <c r="AJ31" s="18" t="s">
        <v>364</v>
      </c>
      <c r="AK31" s="18" t="s">
        <v>365</v>
      </c>
      <c r="AL31" s="18" t="s">
        <v>366</v>
      </c>
      <c r="AM31" s="18" t="s">
        <v>367</v>
      </c>
      <c r="AN31" s="18" t="s">
        <v>365</v>
      </c>
    </row>
    <row r="32" spans="1:40" s="14" customFormat="1" ht="15" x14ac:dyDescent="0.25">
      <c r="A32" s="18" t="s">
        <v>59</v>
      </c>
      <c r="B32" s="18" t="s">
        <v>60</v>
      </c>
      <c r="C32" s="18" t="s">
        <v>361</v>
      </c>
      <c r="D32" s="18" t="s">
        <v>61</v>
      </c>
      <c r="E32" s="18" t="s">
        <v>43</v>
      </c>
      <c r="F32" s="18" t="s">
        <v>62</v>
      </c>
      <c r="G32" s="18" t="s">
        <v>63</v>
      </c>
      <c r="H32" s="18" t="s">
        <v>46</v>
      </c>
      <c r="I32" s="32">
        <v>10.95</v>
      </c>
      <c r="J32" s="21">
        <v>15.22</v>
      </c>
      <c r="K32" s="22">
        <v>22.95</v>
      </c>
      <c r="L32" s="23">
        <f>SUM(((K32)/1.2)-(J32))/((K32)/1.2)</f>
        <v>0.20418300653594768</v>
      </c>
      <c r="M32" s="24">
        <v>11.340999999999999</v>
      </c>
      <c r="N32" s="25">
        <f>(M32-I32)/I32</f>
        <v>3.5707762557077631E-2</v>
      </c>
      <c r="O32" s="26">
        <v>0.39</v>
      </c>
      <c r="P32" s="17">
        <f>M32+(M32*O32)</f>
        <v>15.76399</v>
      </c>
      <c r="Q32" s="34">
        <v>23.95</v>
      </c>
      <c r="R32" s="13">
        <f>SUM(((Q32)/1.2)-(P32))/((Q32)/1.2)</f>
        <v>0.2101549895615866</v>
      </c>
      <c r="S32" s="18">
        <v>96</v>
      </c>
      <c r="T32" s="18" t="s">
        <v>356</v>
      </c>
      <c r="U32" s="18" t="s">
        <v>370</v>
      </c>
      <c r="V32" s="18" t="s">
        <v>357</v>
      </c>
      <c r="W32" s="18">
        <v>123</v>
      </c>
      <c r="X32" s="18" t="s">
        <v>377</v>
      </c>
      <c r="Y32" s="18">
        <v>10</v>
      </c>
      <c r="Z32" s="18">
        <v>2</v>
      </c>
      <c r="AA32" s="18">
        <v>44</v>
      </c>
      <c r="AB32" s="18">
        <v>23</v>
      </c>
      <c r="AC32" s="18">
        <v>21</v>
      </c>
      <c r="AD32" s="18">
        <v>2</v>
      </c>
      <c r="AE32" s="18" t="s">
        <v>378</v>
      </c>
      <c r="AF32" s="18" t="s">
        <v>46</v>
      </c>
      <c r="AG32" s="18">
        <v>10.95</v>
      </c>
      <c r="AH32" s="18" t="s">
        <v>362</v>
      </c>
      <c r="AI32" s="18" t="s">
        <v>363</v>
      </c>
      <c r="AJ32" s="18" t="s">
        <v>364</v>
      </c>
      <c r="AK32" s="18" t="s">
        <v>365</v>
      </c>
      <c r="AL32" s="18" t="s">
        <v>366</v>
      </c>
      <c r="AM32" s="18" t="s">
        <v>367</v>
      </c>
      <c r="AN32" s="18" t="s">
        <v>365</v>
      </c>
    </row>
    <row r="33" spans="1:40" s="14" customFormat="1" ht="15" x14ac:dyDescent="0.25">
      <c r="A33" s="18" t="s">
        <v>67</v>
      </c>
      <c r="B33" s="18" t="s">
        <v>68</v>
      </c>
      <c r="C33" s="18" t="s">
        <v>361</v>
      </c>
      <c r="D33" s="18" t="s">
        <v>69</v>
      </c>
      <c r="E33" s="18" t="s">
        <v>43</v>
      </c>
      <c r="F33" s="18" t="s">
        <v>44</v>
      </c>
      <c r="G33" s="18" t="s">
        <v>45</v>
      </c>
      <c r="H33" s="18" t="s">
        <v>46</v>
      </c>
      <c r="I33" s="32">
        <v>4.92</v>
      </c>
      <c r="J33" s="21">
        <v>6.22</v>
      </c>
      <c r="K33" s="22">
        <v>9.5</v>
      </c>
      <c r="L33" s="23">
        <f>SUM(((K33)/1.2)-(J33))/((K33)/1.2)</f>
        <v>0.21431578947368427</v>
      </c>
      <c r="M33" s="24">
        <v>5.1319999999999997</v>
      </c>
      <c r="N33" s="25">
        <f>(M33-I33)/I33</f>
        <v>4.3089430894308889E-2</v>
      </c>
      <c r="O33" s="26">
        <v>0.26370989448793464</v>
      </c>
      <c r="P33" s="17">
        <f>M33+(M33*O33)</f>
        <v>6.4853591785120805</v>
      </c>
      <c r="Q33" s="34">
        <v>10.95</v>
      </c>
      <c r="R33" s="13">
        <f>SUM(((Q33)/1.2)-(P33))/((Q33)/1.2)</f>
        <v>0.28927570646442952</v>
      </c>
      <c r="S33" s="18">
        <v>338</v>
      </c>
      <c r="T33" s="18" t="s">
        <v>356</v>
      </c>
      <c r="U33" s="18" t="s">
        <v>357</v>
      </c>
      <c r="V33" s="18" t="s">
        <v>357</v>
      </c>
      <c r="W33" s="18">
        <v>204</v>
      </c>
      <c r="X33" s="18" t="s">
        <v>382</v>
      </c>
      <c r="Y33" s="18">
        <v>144</v>
      </c>
      <c r="Z33" s="18">
        <v>12</v>
      </c>
      <c r="AA33" s="18">
        <v>224</v>
      </c>
      <c r="AB33" s="18">
        <v>80</v>
      </c>
      <c r="AC33" s="18">
        <v>116</v>
      </c>
      <c r="AD33" s="18">
        <v>4</v>
      </c>
      <c r="AE33" s="18" t="s">
        <v>383</v>
      </c>
      <c r="AF33" s="18" t="s">
        <v>46</v>
      </c>
      <c r="AG33" s="18">
        <v>4.92</v>
      </c>
      <c r="AH33" s="18" t="s">
        <v>362</v>
      </c>
      <c r="AI33" s="18" t="s">
        <v>363</v>
      </c>
      <c r="AJ33" s="18" t="s">
        <v>364</v>
      </c>
      <c r="AK33" s="18" t="s">
        <v>365</v>
      </c>
      <c r="AL33" s="18" t="s">
        <v>381</v>
      </c>
      <c r="AM33" s="18" t="s">
        <v>367</v>
      </c>
      <c r="AN33" s="18" t="s">
        <v>365</v>
      </c>
    </row>
    <row r="34" spans="1:40" s="14" customFormat="1" ht="15" x14ac:dyDescent="0.25">
      <c r="A34" s="18" t="s">
        <v>70</v>
      </c>
      <c r="B34" s="18" t="s">
        <v>71</v>
      </c>
      <c r="C34" s="18" t="s">
        <v>361</v>
      </c>
      <c r="D34" s="18" t="s">
        <v>72</v>
      </c>
      <c r="E34" s="18" t="s">
        <v>43</v>
      </c>
      <c r="F34" s="18" t="s">
        <v>44</v>
      </c>
      <c r="G34" s="18" t="s">
        <v>45</v>
      </c>
      <c r="H34" s="18" t="s">
        <v>46</v>
      </c>
      <c r="I34" s="32">
        <v>3.7450000000000001</v>
      </c>
      <c r="J34" s="21">
        <v>4.7300000000000004</v>
      </c>
      <c r="K34" s="22">
        <v>8.5</v>
      </c>
      <c r="L34" s="23">
        <f>SUM(((K34)/1.2)-(J34))/((K34)/1.2)</f>
        <v>0.33223529411764707</v>
      </c>
      <c r="M34" s="24">
        <v>3.8279999999999998</v>
      </c>
      <c r="N34" s="25">
        <f>(M34-I34)/I34</f>
        <v>2.2162883845126765E-2</v>
      </c>
      <c r="O34" s="26">
        <v>0.26370989448793464</v>
      </c>
      <c r="P34" s="17">
        <f>M34+(M34*O34)</f>
        <v>4.8374814760998133</v>
      </c>
      <c r="Q34" s="34">
        <v>8.9499999999999993</v>
      </c>
      <c r="R34" s="13">
        <f>SUM(((Q34)/1.2)-(P34))/((Q34)/1.2)</f>
        <v>0.35139913169611442</v>
      </c>
      <c r="S34" s="18">
        <v>423</v>
      </c>
      <c r="T34" s="18" t="s">
        <v>356</v>
      </c>
      <c r="U34" s="18" t="s">
        <v>357</v>
      </c>
      <c r="V34" s="18" t="s">
        <v>358</v>
      </c>
      <c r="W34" s="18">
        <v>254</v>
      </c>
      <c r="X34" s="18" t="s">
        <v>384</v>
      </c>
      <c r="Y34" s="18">
        <v>192</v>
      </c>
      <c r="Z34" s="18">
        <v>8</v>
      </c>
      <c r="AA34" s="18">
        <v>240</v>
      </c>
      <c r="AB34" s="18">
        <v>118</v>
      </c>
      <c r="AC34" s="18">
        <v>126</v>
      </c>
      <c r="AD34" s="18">
        <v>4</v>
      </c>
      <c r="AE34" s="18" t="s">
        <v>385</v>
      </c>
      <c r="AF34" s="18" t="s">
        <v>46</v>
      </c>
      <c r="AG34" s="18">
        <v>3.7450000000000001</v>
      </c>
      <c r="AH34" s="18" t="s">
        <v>362</v>
      </c>
      <c r="AI34" s="18" t="s">
        <v>363</v>
      </c>
      <c r="AJ34" s="18" t="s">
        <v>364</v>
      </c>
      <c r="AK34" s="18" t="s">
        <v>365</v>
      </c>
      <c r="AL34" s="18" t="s">
        <v>381</v>
      </c>
      <c r="AM34" s="18" t="s">
        <v>367</v>
      </c>
      <c r="AN34" s="18" t="s">
        <v>365</v>
      </c>
    </row>
    <row r="35" spans="1:40" s="14" customFormat="1" ht="15" x14ac:dyDescent="0.25">
      <c r="A35" s="18" t="s">
        <v>73</v>
      </c>
      <c r="B35" s="18" t="s">
        <v>74</v>
      </c>
      <c r="C35" s="18" t="s">
        <v>361</v>
      </c>
      <c r="D35" s="18" t="s">
        <v>75</v>
      </c>
      <c r="E35" s="18" t="s">
        <v>43</v>
      </c>
      <c r="F35" s="18" t="s">
        <v>44</v>
      </c>
      <c r="G35" s="18" t="s">
        <v>45</v>
      </c>
      <c r="H35" s="18" t="s">
        <v>46</v>
      </c>
      <c r="I35" s="32">
        <v>4.24</v>
      </c>
      <c r="J35" s="21">
        <v>5.36</v>
      </c>
      <c r="K35" s="22">
        <v>9.5</v>
      </c>
      <c r="L35" s="23">
        <f>SUM(((K35)/1.2)-(J35))/((K35)/1.2)</f>
        <v>0.32294736842105259</v>
      </c>
      <c r="M35" s="24">
        <v>4.5049999999999999</v>
      </c>
      <c r="N35" s="25">
        <f>(M35-I35)/I35</f>
        <v>6.2499999999999924E-2</v>
      </c>
      <c r="O35" s="26">
        <v>0.26370989448793464</v>
      </c>
      <c r="P35" s="17">
        <f>M35+(M35*O35)</f>
        <v>5.6930130746681451</v>
      </c>
      <c r="Q35" s="34">
        <v>10.5</v>
      </c>
      <c r="R35" s="13">
        <f>SUM(((Q35)/1.2)-(P35))/((Q35)/1.2)</f>
        <v>0.34936993432364055</v>
      </c>
      <c r="S35" s="18">
        <v>244</v>
      </c>
      <c r="T35" s="18" t="s">
        <v>356</v>
      </c>
      <c r="U35" s="18" t="s">
        <v>357</v>
      </c>
      <c r="V35" s="18" t="s">
        <v>358</v>
      </c>
      <c r="W35" s="18">
        <v>217</v>
      </c>
      <c r="X35" s="18" t="s">
        <v>386</v>
      </c>
      <c r="Y35" s="18">
        <v>276</v>
      </c>
      <c r="Z35" s="18">
        <v>8</v>
      </c>
      <c r="AA35" s="18">
        <v>206</v>
      </c>
      <c r="AB35" s="18">
        <v>83</v>
      </c>
      <c r="AC35" s="18">
        <v>108</v>
      </c>
      <c r="AD35" s="18">
        <v>4</v>
      </c>
      <c r="AE35" s="18" t="s">
        <v>387</v>
      </c>
      <c r="AF35" s="18" t="s">
        <v>46</v>
      </c>
      <c r="AG35" s="18">
        <v>4.24</v>
      </c>
      <c r="AH35" s="18" t="s">
        <v>362</v>
      </c>
      <c r="AI35" s="18" t="s">
        <v>363</v>
      </c>
      <c r="AJ35" s="18" t="s">
        <v>364</v>
      </c>
      <c r="AK35" s="18" t="s">
        <v>365</v>
      </c>
      <c r="AL35" s="18" t="s">
        <v>381</v>
      </c>
      <c r="AM35" s="18" t="s">
        <v>367</v>
      </c>
      <c r="AN35" s="18" t="s">
        <v>365</v>
      </c>
    </row>
    <row r="36" spans="1:40" s="14" customFormat="1" ht="15" x14ac:dyDescent="0.25">
      <c r="A36" s="18" t="s">
        <v>154</v>
      </c>
      <c r="B36" s="18" t="s">
        <v>155</v>
      </c>
      <c r="C36" s="18" t="s">
        <v>361</v>
      </c>
      <c r="D36" s="18" t="s">
        <v>156</v>
      </c>
      <c r="E36" s="18" t="s">
        <v>43</v>
      </c>
      <c r="F36" s="18" t="s">
        <v>157</v>
      </c>
      <c r="G36" s="18" t="s">
        <v>158</v>
      </c>
      <c r="H36" s="18" t="s">
        <v>159</v>
      </c>
      <c r="I36" s="32">
        <v>6.33</v>
      </c>
      <c r="J36" s="21">
        <v>7.21</v>
      </c>
      <c r="K36" s="22">
        <v>14.99</v>
      </c>
      <c r="L36" s="23">
        <f>SUM(((K36)/1.2)-(J36))/((K36)/1.2)</f>
        <v>0.42281521014009343</v>
      </c>
      <c r="M36" s="24">
        <v>6.3250000000000002</v>
      </c>
      <c r="N36" s="25">
        <f>(M36-I36)/I36</f>
        <v>-7.8988941548181573E-4</v>
      </c>
      <c r="O36" s="26">
        <v>0.14000000000000001</v>
      </c>
      <c r="P36" s="17">
        <f>M36+(M36*O36)</f>
        <v>7.2105000000000006</v>
      </c>
      <c r="Q36" s="34">
        <f>(P36*1.2)/(1-L36)</f>
        <v>14.991039528432735</v>
      </c>
      <c r="R36" s="13">
        <f>SUM(((Q36)/1.2)-(P36))/((Q36)/1.2)</f>
        <v>0.42281521014009349</v>
      </c>
      <c r="S36" s="18">
        <v>762</v>
      </c>
      <c r="T36" s="18" t="s">
        <v>356</v>
      </c>
      <c r="U36" s="18" t="s">
        <v>370</v>
      </c>
      <c r="V36" s="18" t="s">
        <v>452</v>
      </c>
      <c r="W36" s="18">
        <v>55</v>
      </c>
      <c r="X36" s="18" t="s">
        <v>453</v>
      </c>
      <c r="Y36" s="18">
        <v>1</v>
      </c>
      <c r="Z36" s="18">
        <v>0</v>
      </c>
      <c r="AA36" s="18">
        <v>18</v>
      </c>
      <c r="AB36" s="18">
        <v>0</v>
      </c>
      <c r="AC36" s="18">
        <v>8</v>
      </c>
      <c r="AD36" s="18">
        <v>1</v>
      </c>
      <c r="AE36" s="18" t="s">
        <v>454</v>
      </c>
      <c r="AF36" s="18" t="s">
        <v>46</v>
      </c>
      <c r="AG36" s="18">
        <v>6.33</v>
      </c>
      <c r="AH36" s="18" t="s">
        <v>362</v>
      </c>
      <c r="AI36" s="18" t="s">
        <v>363</v>
      </c>
      <c r="AJ36" s="18" t="s">
        <v>365</v>
      </c>
      <c r="AK36" s="18" t="s">
        <v>365</v>
      </c>
      <c r="AL36" s="18" t="s">
        <v>381</v>
      </c>
      <c r="AM36" s="18" t="s">
        <v>367</v>
      </c>
      <c r="AN36" s="18" t="s">
        <v>365</v>
      </c>
    </row>
    <row r="37" spans="1:40" s="14" customFormat="1" ht="15" x14ac:dyDescent="0.25">
      <c r="A37" s="18" t="s">
        <v>64</v>
      </c>
      <c r="B37" s="18" t="s">
        <v>65</v>
      </c>
      <c r="C37" s="18" t="s">
        <v>361</v>
      </c>
      <c r="D37" s="18" t="s">
        <v>66</v>
      </c>
      <c r="E37" s="18" t="s">
        <v>43</v>
      </c>
      <c r="F37" s="18" t="s">
        <v>44</v>
      </c>
      <c r="G37" s="18" t="s">
        <v>45</v>
      </c>
      <c r="H37" s="18" t="s">
        <v>46</v>
      </c>
      <c r="I37" s="32">
        <v>5.2709999999999999</v>
      </c>
      <c r="J37" s="21">
        <v>6.66</v>
      </c>
      <c r="K37" s="22">
        <v>11.95</v>
      </c>
      <c r="L37" s="23">
        <f>SUM(((K37)/1.2)-(J37))/((K37)/1.2)</f>
        <v>0.33121338912133896</v>
      </c>
      <c r="M37" s="24">
        <v>5.2709999999999999</v>
      </c>
      <c r="N37" s="25">
        <f>(M37-I37)/I37</f>
        <v>0</v>
      </c>
      <c r="O37" s="26">
        <v>0.26370989448793464</v>
      </c>
      <c r="P37" s="17">
        <f>M37+(M37*O37)</f>
        <v>6.6610148538459031</v>
      </c>
      <c r="Q37" s="12">
        <f>(P37*1.2)/(1-L37)</f>
        <v>11.951820946465245</v>
      </c>
      <c r="R37" s="13">
        <f>SUM(((Q37)/1.2)-(P37))/((Q37)/1.2)</f>
        <v>0.33121338912133885</v>
      </c>
      <c r="S37" s="18">
        <v>323</v>
      </c>
      <c r="T37" s="18" t="s">
        <v>356</v>
      </c>
      <c r="U37" s="18" t="s">
        <v>357</v>
      </c>
      <c r="V37" s="18" t="s">
        <v>358</v>
      </c>
      <c r="W37" s="18">
        <v>194</v>
      </c>
      <c r="X37" s="18" t="s">
        <v>379</v>
      </c>
      <c r="Y37" s="18">
        <v>152</v>
      </c>
      <c r="Z37" s="18">
        <v>0</v>
      </c>
      <c r="AA37" s="18">
        <v>216</v>
      </c>
      <c r="AB37" s="18">
        <v>92</v>
      </c>
      <c r="AC37" s="18">
        <v>114</v>
      </c>
      <c r="AD37" s="18">
        <v>4</v>
      </c>
      <c r="AE37" s="18" t="s">
        <v>380</v>
      </c>
      <c r="AF37" s="18" t="s">
        <v>46</v>
      </c>
      <c r="AG37" s="18">
        <v>5.2709999999999999</v>
      </c>
      <c r="AH37" s="18" t="s">
        <v>362</v>
      </c>
      <c r="AI37" s="18" t="s">
        <v>363</v>
      </c>
      <c r="AJ37" s="18" t="s">
        <v>365</v>
      </c>
      <c r="AK37" s="18" t="s">
        <v>365</v>
      </c>
      <c r="AL37" s="18" t="s">
        <v>381</v>
      </c>
      <c r="AM37" s="18" t="s">
        <v>367</v>
      </c>
      <c r="AN37" s="18" t="s">
        <v>365</v>
      </c>
    </row>
    <row r="38" spans="1:40" s="14" customFormat="1" ht="15" x14ac:dyDescent="0.25">
      <c r="A38" s="18" t="s">
        <v>76</v>
      </c>
      <c r="B38" s="18" t="s">
        <v>77</v>
      </c>
      <c r="C38" s="18" t="s">
        <v>361</v>
      </c>
      <c r="D38" s="18" t="s">
        <v>78</v>
      </c>
      <c r="E38" s="18" t="s">
        <v>43</v>
      </c>
      <c r="F38" s="18" t="s">
        <v>54</v>
      </c>
      <c r="G38" s="18" t="s">
        <v>55</v>
      </c>
      <c r="H38" s="18" t="s">
        <v>46</v>
      </c>
      <c r="I38" s="32">
        <v>3.1459999999999999</v>
      </c>
      <c r="J38" s="21">
        <v>3.84</v>
      </c>
      <c r="K38" s="22">
        <v>9.5</v>
      </c>
      <c r="L38" s="23">
        <f>SUM(((K38)/1.2)-(J38))/((K38)/1.2)</f>
        <v>0.51494736842105271</v>
      </c>
      <c r="M38" s="24">
        <v>3.1459999999999999</v>
      </c>
      <c r="N38" s="25">
        <f>(M38-I38)/I38</f>
        <v>0</v>
      </c>
      <c r="O38" s="26">
        <v>0.22000000000000003</v>
      </c>
      <c r="P38" s="17">
        <f>M38+(M38*O38)</f>
        <v>3.83812</v>
      </c>
      <c r="Q38" s="12">
        <f>(P38*1.2)/(1-L38)</f>
        <v>9.4953489583333344</v>
      </c>
      <c r="R38" s="13">
        <f>SUM(((Q38)/1.2)-(P38))/((Q38)/1.2)</f>
        <v>0.51494736842105271</v>
      </c>
      <c r="S38" s="18">
        <v>541</v>
      </c>
      <c r="T38" s="18" t="s">
        <v>356</v>
      </c>
      <c r="U38" s="18" t="s">
        <v>357</v>
      </c>
      <c r="V38" s="18" t="s">
        <v>388</v>
      </c>
      <c r="W38" s="18">
        <v>514</v>
      </c>
      <c r="X38" s="18" t="s">
        <v>389</v>
      </c>
      <c r="Y38" s="18">
        <v>392</v>
      </c>
      <c r="Z38" s="18">
        <v>12</v>
      </c>
      <c r="AA38" s="18">
        <v>470</v>
      </c>
      <c r="AB38" s="18">
        <v>226</v>
      </c>
      <c r="AC38" s="18">
        <v>256</v>
      </c>
      <c r="AD38" s="18">
        <v>4</v>
      </c>
      <c r="AE38" s="18" t="s">
        <v>390</v>
      </c>
      <c r="AF38" s="18" t="s">
        <v>46</v>
      </c>
      <c r="AG38" s="18">
        <v>3.1459999999999999</v>
      </c>
      <c r="AH38" s="18" t="s">
        <v>362</v>
      </c>
      <c r="AI38" s="18" t="s">
        <v>363</v>
      </c>
      <c r="AJ38" s="18" t="s">
        <v>365</v>
      </c>
      <c r="AK38" s="18" t="s">
        <v>365</v>
      </c>
      <c r="AL38" s="18" t="s">
        <v>381</v>
      </c>
      <c r="AM38" s="18" t="s">
        <v>367</v>
      </c>
      <c r="AN38" s="18" t="s">
        <v>365</v>
      </c>
    </row>
    <row r="39" spans="1:40" ht="15" x14ac:dyDescent="0.25">
      <c r="A39" s="18" t="s">
        <v>79</v>
      </c>
      <c r="B39" s="18" t="s">
        <v>80</v>
      </c>
      <c r="C39" s="18" t="s">
        <v>361</v>
      </c>
      <c r="D39" s="18" t="s">
        <v>81</v>
      </c>
      <c r="E39" s="18" t="s">
        <v>43</v>
      </c>
      <c r="F39" s="18" t="s">
        <v>54</v>
      </c>
      <c r="G39" s="18" t="s">
        <v>55</v>
      </c>
      <c r="H39" s="18" t="s">
        <v>46</v>
      </c>
      <c r="I39" s="32">
        <v>2.82</v>
      </c>
      <c r="J39" s="21">
        <v>3.44</v>
      </c>
      <c r="K39" s="22">
        <v>9.5</v>
      </c>
      <c r="L39" s="23">
        <f>SUM(((K39)/1.2)-(J39))/((K39)/1.2)</f>
        <v>0.56547368421052624</v>
      </c>
      <c r="M39" s="24">
        <v>2.82</v>
      </c>
      <c r="N39" s="25">
        <f>(M39-I39)/I39</f>
        <v>0</v>
      </c>
      <c r="O39" s="26">
        <v>0.22000000000000003</v>
      </c>
      <c r="P39" s="17">
        <f>M39+(M39*O39)</f>
        <v>3.4403999999999999</v>
      </c>
      <c r="Q39" s="12">
        <f>(P39*1.2)/(1-L39)</f>
        <v>9.5011046511627892</v>
      </c>
      <c r="R39" s="13">
        <f>SUM(((Q39)/1.2)-(P39))/((Q39)/1.2)</f>
        <v>0.56547368421052635</v>
      </c>
      <c r="S39" s="18">
        <v>306</v>
      </c>
      <c r="T39" s="18" t="s">
        <v>356</v>
      </c>
      <c r="U39" s="18" t="s">
        <v>357</v>
      </c>
      <c r="V39" s="18" t="s">
        <v>357</v>
      </c>
      <c r="W39" s="18">
        <v>188</v>
      </c>
      <c r="X39" s="18" t="s">
        <v>391</v>
      </c>
      <c r="Y39" s="18">
        <v>348</v>
      </c>
      <c r="Z39" s="18">
        <v>0</v>
      </c>
      <c r="AA39" s="18">
        <v>94</v>
      </c>
      <c r="AB39" s="18">
        <v>61</v>
      </c>
      <c r="AC39" s="18">
        <v>44</v>
      </c>
      <c r="AD39" s="18">
        <v>4</v>
      </c>
      <c r="AE39" s="18" t="s">
        <v>392</v>
      </c>
      <c r="AF39" s="18" t="s">
        <v>46</v>
      </c>
      <c r="AG39" s="18">
        <v>2.82</v>
      </c>
      <c r="AH39" s="18" t="s">
        <v>362</v>
      </c>
      <c r="AI39" s="18" t="s">
        <v>363</v>
      </c>
      <c r="AJ39" s="18" t="s">
        <v>365</v>
      </c>
      <c r="AK39" s="18" t="s">
        <v>365</v>
      </c>
      <c r="AL39" s="18" t="s">
        <v>381</v>
      </c>
      <c r="AM39" s="18" t="s">
        <v>367</v>
      </c>
      <c r="AN39" s="18" t="s">
        <v>365</v>
      </c>
    </row>
    <row r="40" spans="1:40" ht="15" x14ac:dyDescent="0.25">
      <c r="A40" s="18" t="s">
        <v>82</v>
      </c>
      <c r="B40" s="18" t="s">
        <v>83</v>
      </c>
      <c r="C40" s="18" t="s">
        <v>361</v>
      </c>
      <c r="D40" s="18" t="s">
        <v>84</v>
      </c>
      <c r="E40" s="18" t="s">
        <v>43</v>
      </c>
      <c r="F40" s="18" t="s">
        <v>54</v>
      </c>
      <c r="G40" s="18" t="s">
        <v>55</v>
      </c>
      <c r="H40" s="18" t="s">
        <v>46</v>
      </c>
      <c r="I40" s="32">
        <v>3.0529999999999999</v>
      </c>
      <c r="J40" s="21">
        <v>3.72</v>
      </c>
      <c r="K40" s="22">
        <v>9.5</v>
      </c>
      <c r="L40" s="23">
        <f>SUM(((K40)/1.2)-(J40))/((K40)/1.2)</f>
        <v>0.53010526315789475</v>
      </c>
      <c r="M40" s="24">
        <v>3.0529999999999999</v>
      </c>
      <c r="N40" s="25">
        <f>(M40-I40)/I40</f>
        <v>0</v>
      </c>
      <c r="O40" s="26">
        <v>0.22000000000000003</v>
      </c>
      <c r="P40" s="17">
        <f>M40+(M40*O40)</f>
        <v>3.7246600000000001</v>
      </c>
      <c r="Q40" s="12">
        <f>(P40*1.2)/(1-L40)</f>
        <v>9.511900537634407</v>
      </c>
      <c r="R40" s="13">
        <f>SUM(((Q40)/1.2)-(P40))/((Q40)/1.2)</f>
        <v>0.53010526315789464</v>
      </c>
      <c r="S40" s="18">
        <v>86</v>
      </c>
      <c r="T40" s="18" t="s">
        <v>356</v>
      </c>
      <c r="U40" s="18" t="s">
        <v>370</v>
      </c>
      <c r="V40" s="18" t="s">
        <v>393</v>
      </c>
      <c r="W40" s="18">
        <v>172</v>
      </c>
      <c r="X40" s="18" t="s">
        <v>394</v>
      </c>
      <c r="Y40" s="18">
        <v>160</v>
      </c>
      <c r="Z40" s="18">
        <v>0</v>
      </c>
      <c r="AA40" s="18">
        <v>76</v>
      </c>
      <c r="AB40" s="18">
        <v>28</v>
      </c>
      <c r="AC40" s="18">
        <v>37</v>
      </c>
      <c r="AD40" s="18">
        <v>4</v>
      </c>
      <c r="AE40" s="18" t="s">
        <v>395</v>
      </c>
      <c r="AF40" s="18" t="s">
        <v>46</v>
      </c>
      <c r="AG40" s="18">
        <v>3.0529999999999999</v>
      </c>
      <c r="AH40" s="18" t="s">
        <v>362</v>
      </c>
      <c r="AI40" s="18" t="s">
        <v>396</v>
      </c>
      <c r="AJ40" s="18" t="s">
        <v>364</v>
      </c>
      <c r="AK40" s="18" t="s">
        <v>365</v>
      </c>
      <c r="AL40" s="18" t="s">
        <v>381</v>
      </c>
      <c r="AM40" s="18" t="s">
        <v>367</v>
      </c>
      <c r="AN40" s="18" t="s">
        <v>365</v>
      </c>
    </row>
    <row r="41" spans="1:40" ht="15" x14ac:dyDescent="0.25">
      <c r="A41" s="18" t="s">
        <v>85</v>
      </c>
      <c r="B41" s="18" t="s">
        <v>86</v>
      </c>
      <c r="C41" s="18" t="s">
        <v>361</v>
      </c>
      <c r="D41" s="18" t="s">
        <v>87</v>
      </c>
      <c r="E41" s="18" t="s">
        <v>43</v>
      </c>
      <c r="F41" s="18" t="s">
        <v>62</v>
      </c>
      <c r="G41" s="18" t="s">
        <v>63</v>
      </c>
      <c r="H41" s="18" t="s">
        <v>46</v>
      </c>
      <c r="I41" s="32">
        <v>5.5350000000000001</v>
      </c>
      <c r="J41" s="21">
        <v>7.69</v>
      </c>
      <c r="K41" s="22">
        <v>11.95</v>
      </c>
      <c r="L41" s="23">
        <f>SUM(((K41)/1.2)-(J41))/((K41)/1.2)</f>
        <v>0.22778242677824267</v>
      </c>
      <c r="M41" s="24">
        <v>5.5350000000000001</v>
      </c>
      <c r="N41" s="25">
        <f>(M41-I41)/I41</f>
        <v>0</v>
      </c>
      <c r="O41" s="26">
        <v>0.39</v>
      </c>
      <c r="P41" s="17">
        <f>M41+(M41*O41)</f>
        <v>7.6936499999999999</v>
      </c>
      <c r="Q41" s="12">
        <f>(P41*1.2)/(1-L41)</f>
        <v>11.955671976592976</v>
      </c>
      <c r="R41" s="13">
        <f>SUM(((Q41)/1.2)-(P41))/((Q41)/1.2)</f>
        <v>0.22778242677824265</v>
      </c>
      <c r="S41" s="18">
        <v>276</v>
      </c>
      <c r="T41" s="18" t="s">
        <v>356</v>
      </c>
      <c r="U41" s="18" t="s">
        <v>370</v>
      </c>
      <c r="V41" s="18" t="s">
        <v>357</v>
      </c>
      <c r="W41" s="18">
        <v>154</v>
      </c>
      <c r="X41" s="18" t="s">
        <v>397</v>
      </c>
      <c r="Y41" s="18">
        <v>20</v>
      </c>
      <c r="Z41" s="18">
        <v>0</v>
      </c>
      <c r="AA41" s="18">
        <v>116</v>
      </c>
      <c r="AB41" s="18">
        <v>45</v>
      </c>
      <c r="AC41" s="18">
        <v>56</v>
      </c>
      <c r="AD41" s="18">
        <v>5</v>
      </c>
      <c r="AE41" s="18" t="s">
        <v>398</v>
      </c>
      <c r="AF41" s="18" t="s">
        <v>46</v>
      </c>
      <c r="AG41" s="18">
        <v>5.5350000000000001</v>
      </c>
      <c r="AH41" s="18" t="s">
        <v>362</v>
      </c>
      <c r="AI41" s="18" t="s">
        <v>363</v>
      </c>
      <c r="AJ41" s="18" t="s">
        <v>364</v>
      </c>
      <c r="AK41" s="18" t="s">
        <v>365</v>
      </c>
      <c r="AL41" s="18" t="s">
        <v>366</v>
      </c>
      <c r="AM41" s="18" t="s">
        <v>367</v>
      </c>
      <c r="AN41" s="18" t="s">
        <v>365</v>
      </c>
    </row>
    <row r="42" spans="1:40" ht="15" x14ac:dyDescent="0.25">
      <c r="A42" s="18" t="s">
        <v>88</v>
      </c>
      <c r="B42" s="18" t="s">
        <v>89</v>
      </c>
      <c r="C42" s="18" t="s">
        <v>361</v>
      </c>
      <c r="D42" s="18" t="s">
        <v>90</v>
      </c>
      <c r="E42" s="18" t="s">
        <v>43</v>
      </c>
      <c r="F42" s="18" t="s">
        <v>62</v>
      </c>
      <c r="G42" s="18" t="s">
        <v>63</v>
      </c>
      <c r="H42" s="18" t="s">
        <v>46</v>
      </c>
      <c r="I42" s="32">
        <v>5.9829999999999997</v>
      </c>
      <c r="J42" s="21">
        <v>8.32</v>
      </c>
      <c r="K42" s="22">
        <v>11.95</v>
      </c>
      <c r="L42" s="23">
        <f>SUM(((K42)/1.2)-(J42))/((K42)/1.2)</f>
        <v>0.16451882845188287</v>
      </c>
      <c r="M42" s="24">
        <v>5.9829999999999997</v>
      </c>
      <c r="N42" s="25">
        <f>(M42-I42)/I42</f>
        <v>0</v>
      </c>
      <c r="O42" s="26">
        <v>0.39</v>
      </c>
      <c r="P42" s="17">
        <f>M42+(M42*O42)</f>
        <v>8.3163699999999992</v>
      </c>
      <c r="Q42" s="12">
        <f>(P42*1.2)/(1-L42)</f>
        <v>11.944786237980766</v>
      </c>
      <c r="R42" s="13">
        <f>SUM(((Q42)/1.2)-(P42))/((Q42)/1.2)</f>
        <v>0.16451882845188276</v>
      </c>
      <c r="S42" s="18">
        <v>125</v>
      </c>
      <c r="T42" s="18" t="s">
        <v>356</v>
      </c>
      <c r="U42" s="18" t="s">
        <v>370</v>
      </c>
      <c r="V42" s="18" t="s">
        <v>370</v>
      </c>
      <c r="W42" s="18">
        <v>156</v>
      </c>
      <c r="X42" s="18" t="s">
        <v>399</v>
      </c>
      <c r="Y42" s="18">
        <v>94</v>
      </c>
      <c r="Z42" s="18">
        <v>0</v>
      </c>
      <c r="AA42" s="18">
        <v>66</v>
      </c>
      <c r="AB42" s="18">
        <v>31</v>
      </c>
      <c r="AC42" s="18">
        <v>33</v>
      </c>
      <c r="AD42" s="18">
        <v>5</v>
      </c>
      <c r="AE42" s="18" t="s">
        <v>400</v>
      </c>
      <c r="AF42" s="18" t="s">
        <v>46</v>
      </c>
      <c r="AG42" s="18">
        <v>5.9829999999999997</v>
      </c>
      <c r="AH42" s="18" t="s">
        <v>362</v>
      </c>
      <c r="AI42" s="18" t="s">
        <v>401</v>
      </c>
      <c r="AJ42" s="18" t="s">
        <v>364</v>
      </c>
      <c r="AK42" s="18" t="s">
        <v>402</v>
      </c>
      <c r="AL42" s="18" t="s">
        <v>366</v>
      </c>
      <c r="AM42" s="18" t="s">
        <v>367</v>
      </c>
      <c r="AN42" s="18" t="s">
        <v>365</v>
      </c>
    </row>
    <row r="43" spans="1:40" ht="15" x14ac:dyDescent="0.25">
      <c r="A43" s="18" t="s">
        <v>91</v>
      </c>
      <c r="B43" s="18" t="s">
        <v>92</v>
      </c>
      <c r="C43" s="18" t="s">
        <v>361</v>
      </c>
      <c r="D43" s="18" t="s">
        <v>93</v>
      </c>
      <c r="E43" s="18" t="s">
        <v>43</v>
      </c>
      <c r="F43" s="18" t="s">
        <v>62</v>
      </c>
      <c r="G43" s="18" t="s">
        <v>63</v>
      </c>
      <c r="H43" s="18" t="s">
        <v>46</v>
      </c>
      <c r="I43" s="33">
        <v>6.1550000000000002</v>
      </c>
      <c r="J43" s="27">
        <v>8.56</v>
      </c>
      <c r="K43" s="28">
        <v>13.95</v>
      </c>
      <c r="L43" s="23">
        <f>SUM(((K43)/1.2)-(J43))/((K43)/1.2)</f>
        <v>0.26365591397849458</v>
      </c>
      <c r="M43" s="29">
        <v>6.1550000000000002</v>
      </c>
      <c r="N43" s="25">
        <f>(M43-I43)/I43</f>
        <v>0</v>
      </c>
      <c r="O43" s="26">
        <v>0.39</v>
      </c>
      <c r="P43" s="17">
        <f>M43+(M43*O43)</f>
        <v>8.5554500000000004</v>
      </c>
      <c r="Q43" s="12">
        <f>(P43*1.2)/(1-L43)</f>
        <v>13.942584988317758</v>
      </c>
      <c r="R43" s="13">
        <f>SUM(((Q43)/1.2)-(P43))/((Q43)/1.2)</f>
        <v>0.26365591397849475</v>
      </c>
      <c r="S43" s="18">
        <v>139</v>
      </c>
      <c r="T43" s="18" t="s">
        <v>356</v>
      </c>
      <c r="U43" s="18" t="s">
        <v>370</v>
      </c>
      <c r="V43" s="18" t="s">
        <v>357</v>
      </c>
      <c r="W43" s="18">
        <v>165</v>
      </c>
      <c r="X43" s="18" t="s">
        <v>403</v>
      </c>
      <c r="Y43" s="18">
        <v>45</v>
      </c>
      <c r="Z43" s="18">
        <v>0</v>
      </c>
      <c r="AA43" s="18">
        <v>166</v>
      </c>
      <c r="AB43" s="18">
        <v>15</v>
      </c>
      <c r="AC43" s="18">
        <v>88</v>
      </c>
      <c r="AD43" s="18">
        <v>5</v>
      </c>
      <c r="AE43" s="18" t="s">
        <v>404</v>
      </c>
      <c r="AF43" s="18" t="s">
        <v>46</v>
      </c>
      <c r="AG43" s="18">
        <v>6.1550000000000002</v>
      </c>
      <c r="AH43" s="18" t="s">
        <v>362</v>
      </c>
      <c r="AI43" s="18" t="s">
        <v>401</v>
      </c>
      <c r="AJ43" s="18" t="s">
        <v>364</v>
      </c>
      <c r="AK43" s="18" t="s">
        <v>402</v>
      </c>
      <c r="AL43" s="18" t="s">
        <v>366</v>
      </c>
      <c r="AM43" s="18" t="s">
        <v>367</v>
      </c>
      <c r="AN43" s="18" t="s">
        <v>365</v>
      </c>
    </row>
    <row r="44" spans="1:40" ht="15" x14ac:dyDescent="0.25">
      <c r="A44" s="18" t="s">
        <v>94</v>
      </c>
      <c r="B44" s="18" t="s">
        <v>95</v>
      </c>
      <c r="C44" s="18" t="s">
        <v>361</v>
      </c>
      <c r="D44" s="18" t="s">
        <v>96</v>
      </c>
      <c r="E44" s="18" t="s">
        <v>43</v>
      </c>
      <c r="F44" s="18" t="s">
        <v>62</v>
      </c>
      <c r="G44" s="18" t="s">
        <v>63</v>
      </c>
      <c r="H44" s="18" t="s">
        <v>46</v>
      </c>
      <c r="I44" s="32">
        <v>10.621</v>
      </c>
      <c r="J44" s="21">
        <v>14.76</v>
      </c>
      <c r="K44" s="22">
        <v>22.95</v>
      </c>
      <c r="L44" s="23">
        <f>SUM(((K44)/1.2)-(J44))/((K44)/1.2)</f>
        <v>0.22823529411764706</v>
      </c>
      <c r="M44" s="24">
        <v>10.621</v>
      </c>
      <c r="N44" s="25">
        <f>(M44-I44)/I44</f>
        <v>0</v>
      </c>
      <c r="O44" s="26">
        <v>0.39</v>
      </c>
      <c r="P44" s="17">
        <f>M44+(M44*O44)</f>
        <v>14.763190000000002</v>
      </c>
      <c r="Q44" s="12">
        <f>(P44*1.2)/(1-L44)</f>
        <v>22.954960060975612</v>
      </c>
      <c r="R44" s="13">
        <f>SUM(((Q44)/1.2)-(P44))/((Q44)/1.2)</f>
        <v>0.22823529411764704</v>
      </c>
      <c r="S44" s="18">
        <v>116</v>
      </c>
      <c r="T44" s="18" t="s">
        <v>356</v>
      </c>
      <c r="U44" s="18" t="s">
        <v>370</v>
      </c>
      <c r="V44" s="18" t="s">
        <v>388</v>
      </c>
      <c r="W44" s="18">
        <v>165</v>
      </c>
      <c r="X44" s="18" t="s">
        <v>405</v>
      </c>
      <c r="Y44" s="18">
        <v>172</v>
      </c>
      <c r="Z44" s="18">
        <v>0</v>
      </c>
      <c r="AA44" s="18">
        <v>116</v>
      </c>
      <c r="AB44" s="18">
        <v>66</v>
      </c>
      <c r="AC44" s="18">
        <v>60</v>
      </c>
      <c r="AD44" s="18">
        <v>1</v>
      </c>
      <c r="AE44" s="18" t="s">
        <v>406</v>
      </c>
      <c r="AF44" s="18" t="s">
        <v>46</v>
      </c>
      <c r="AG44" s="18">
        <v>10.621</v>
      </c>
      <c r="AH44" s="18" t="s">
        <v>362</v>
      </c>
      <c r="AI44" s="18" t="s">
        <v>363</v>
      </c>
      <c r="AJ44" s="18" t="s">
        <v>407</v>
      </c>
      <c r="AK44" s="18" t="s">
        <v>365</v>
      </c>
      <c r="AL44" s="18" t="s">
        <v>366</v>
      </c>
      <c r="AM44" s="18" t="s">
        <v>367</v>
      </c>
      <c r="AN44" s="18" t="s">
        <v>365</v>
      </c>
    </row>
    <row r="45" spans="1:40" ht="15" x14ac:dyDescent="0.25">
      <c r="A45" s="18" t="s">
        <v>97</v>
      </c>
      <c r="B45" s="18" t="s">
        <v>98</v>
      </c>
      <c r="C45" s="18" t="s">
        <v>361</v>
      </c>
      <c r="D45" s="18" t="s">
        <v>99</v>
      </c>
      <c r="E45" s="18" t="s">
        <v>43</v>
      </c>
      <c r="F45" s="18" t="s">
        <v>62</v>
      </c>
      <c r="G45" s="18" t="s">
        <v>63</v>
      </c>
      <c r="H45" s="18" t="s">
        <v>46</v>
      </c>
      <c r="I45" s="32">
        <v>7.4480000000000004</v>
      </c>
      <c r="J45" s="21">
        <v>10.35</v>
      </c>
      <c r="K45" s="22">
        <v>13.95</v>
      </c>
      <c r="L45" s="23">
        <f>SUM(((K45)/1.2)-(J45))/((K45)/1.2)</f>
        <v>0.10967741935483874</v>
      </c>
      <c r="M45" s="24">
        <v>7.4480000000000004</v>
      </c>
      <c r="N45" s="25">
        <f>(M45-I45)/I45</f>
        <v>0</v>
      </c>
      <c r="O45" s="26">
        <v>0.39</v>
      </c>
      <c r="P45" s="17">
        <f>M45+(M45*O45)</f>
        <v>10.352720000000001</v>
      </c>
      <c r="Q45" s="12">
        <f>(P45*1.2)/(1-L45)</f>
        <v>13.953666086956524</v>
      </c>
      <c r="R45" s="13">
        <f>SUM(((Q45)/1.2)-(P45))/((Q45)/1.2)</f>
        <v>0.10967741935483873</v>
      </c>
      <c r="S45" s="18">
        <v>223</v>
      </c>
      <c r="T45" s="18" t="s">
        <v>356</v>
      </c>
      <c r="U45" s="18" t="s">
        <v>370</v>
      </c>
      <c r="V45" s="18" t="s">
        <v>388</v>
      </c>
      <c r="W45" s="18">
        <v>343</v>
      </c>
      <c r="X45" s="18" t="s">
        <v>408</v>
      </c>
      <c r="Y45" s="18">
        <v>360</v>
      </c>
      <c r="Z45" s="18">
        <v>8</v>
      </c>
      <c r="AA45" s="18">
        <v>494</v>
      </c>
      <c r="AB45" s="18">
        <v>140</v>
      </c>
      <c r="AC45" s="18">
        <v>246</v>
      </c>
      <c r="AD45" s="18">
        <v>1</v>
      </c>
      <c r="AE45" s="18" t="s">
        <v>409</v>
      </c>
      <c r="AF45" s="18" t="s">
        <v>46</v>
      </c>
      <c r="AG45" s="18">
        <v>7.4480000000000004</v>
      </c>
      <c r="AH45" s="18" t="s">
        <v>362</v>
      </c>
      <c r="AI45" s="18" t="s">
        <v>363</v>
      </c>
      <c r="AJ45" s="18" t="s">
        <v>410</v>
      </c>
      <c r="AK45" s="18" t="s">
        <v>365</v>
      </c>
      <c r="AL45" s="18" t="s">
        <v>366</v>
      </c>
      <c r="AM45" s="18" t="s">
        <v>367</v>
      </c>
      <c r="AN45" s="18" t="s">
        <v>365</v>
      </c>
    </row>
    <row r="46" spans="1:40" ht="15" x14ac:dyDescent="0.25">
      <c r="A46" s="18" t="s">
        <v>100</v>
      </c>
      <c r="B46" s="18" t="s">
        <v>101</v>
      </c>
      <c r="C46" s="18" t="s">
        <v>361</v>
      </c>
      <c r="D46" s="18" t="s">
        <v>102</v>
      </c>
      <c r="E46" s="18" t="s">
        <v>43</v>
      </c>
      <c r="F46" s="18" t="s">
        <v>62</v>
      </c>
      <c r="G46" s="18" t="s">
        <v>63</v>
      </c>
      <c r="H46" s="18" t="s">
        <v>103</v>
      </c>
      <c r="I46" s="32">
        <v>2.673</v>
      </c>
      <c r="J46" s="21">
        <v>3.72</v>
      </c>
      <c r="K46" s="22">
        <v>7.5</v>
      </c>
      <c r="L46" s="23">
        <f>SUM(((K46)/1.2)-(J46))/((K46)/1.2)</f>
        <v>0.40479999999999999</v>
      </c>
      <c r="M46" s="24">
        <v>2.673</v>
      </c>
      <c r="N46" s="25">
        <f>(M46-I46)/I46</f>
        <v>0</v>
      </c>
      <c r="O46" s="26">
        <v>0.39</v>
      </c>
      <c r="P46" s="17">
        <f>M46+(M46*O46)</f>
        <v>3.7154699999999998</v>
      </c>
      <c r="Q46" s="12">
        <f>(P46*1.2)/(1-L46)</f>
        <v>7.4908669354838713</v>
      </c>
      <c r="R46" s="13">
        <f>SUM(((Q46)/1.2)-(P46))/((Q46)/1.2)</f>
        <v>0.4048000000000001</v>
      </c>
      <c r="S46" s="18">
        <v>1057</v>
      </c>
      <c r="T46" s="18" t="s">
        <v>356</v>
      </c>
      <c r="U46" s="18" t="s">
        <v>357</v>
      </c>
      <c r="V46" s="18" t="s">
        <v>358</v>
      </c>
      <c r="W46" s="18">
        <v>348</v>
      </c>
      <c r="X46" s="18" t="s">
        <v>411</v>
      </c>
      <c r="Y46" s="18">
        <v>0</v>
      </c>
      <c r="Z46" s="18">
        <v>5</v>
      </c>
      <c r="AA46" s="18">
        <v>172</v>
      </c>
      <c r="AB46" s="18">
        <v>95</v>
      </c>
      <c r="AC46" s="18">
        <v>86</v>
      </c>
      <c r="AD46" s="18">
        <v>5</v>
      </c>
      <c r="AE46" s="18" t="s">
        <v>412</v>
      </c>
      <c r="AF46" s="18" t="s">
        <v>46</v>
      </c>
      <c r="AG46" s="18">
        <v>2.673</v>
      </c>
      <c r="AH46" s="18" t="s">
        <v>362</v>
      </c>
      <c r="AI46" s="18" t="s">
        <v>363</v>
      </c>
      <c r="AJ46" s="18" t="s">
        <v>413</v>
      </c>
      <c r="AK46" s="18" t="s">
        <v>365</v>
      </c>
      <c r="AL46" s="18" t="s">
        <v>366</v>
      </c>
      <c r="AM46" s="18" t="s">
        <v>367</v>
      </c>
      <c r="AN46" s="18" t="s">
        <v>365</v>
      </c>
    </row>
    <row r="47" spans="1:40" ht="15" x14ac:dyDescent="0.25">
      <c r="A47" s="18" t="s">
        <v>104</v>
      </c>
      <c r="B47" s="18" t="s">
        <v>105</v>
      </c>
      <c r="C47" s="18" t="s">
        <v>361</v>
      </c>
      <c r="D47" s="18" t="s">
        <v>106</v>
      </c>
      <c r="E47" s="18" t="s">
        <v>43</v>
      </c>
      <c r="F47" s="18" t="s">
        <v>62</v>
      </c>
      <c r="G47" s="18" t="s">
        <v>63</v>
      </c>
      <c r="H47" s="18" t="s">
        <v>103</v>
      </c>
      <c r="I47" s="32">
        <v>7.7960000000000003</v>
      </c>
      <c r="J47" s="21">
        <v>10.84</v>
      </c>
      <c r="K47" s="22">
        <v>12.95</v>
      </c>
      <c r="L47" s="23">
        <f>SUM(((K47)/1.2)-(J47))/((K47)/1.2)</f>
        <v>-4.4787644787645207E-3</v>
      </c>
      <c r="M47" s="24">
        <v>7.7960000000000003</v>
      </c>
      <c r="N47" s="25">
        <f>(M47-I47)/I47</f>
        <v>0</v>
      </c>
      <c r="O47" s="26">
        <v>0.39</v>
      </c>
      <c r="P47" s="17">
        <f>M47+(M47*O47)</f>
        <v>10.83644</v>
      </c>
      <c r="Q47" s="12">
        <f>(P47*1.2)/(1-L47)</f>
        <v>12.945747047970478</v>
      </c>
      <c r="R47" s="13">
        <f>SUM(((Q47)/1.2)-(P47))/((Q47)/1.2)</f>
        <v>-4.4787644787645095E-3</v>
      </c>
      <c r="S47" s="18">
        <v>1641</v>
      </c>
      <c r="T47" s="18" t="s">
        <v>356</v>
      </c>
      <c r="U47" s="18" t="s">
        <v>357</v>
      </c>
      <c r="V47" s="18" t="s">
        <v>357</v>
      </c>
      <c r="W47" s="18">
        <v>626</v>
      </c>
      <c r="X47" s="18" t="s">
        <v>414</v>
      </c>
      <c r="Y47" s="18">
        <v>76</v>
      </c>
      <c r="Z47" s="18">
        <v>3</v>
      </c>
      <c r="AA47" s="18">
        <v>712</v>
      </c>
      <c r="AB47" s="18">
        <v>388</v>
      </c>
      <c r="AC47" s="18">
        <v>384</v>
      </c>
      <c r="AD47" s="18">
        <v>1</v>
      </c>
      <c r="AE47" s="18" t="s">
        <v>415</v>
      </c>
      <c r="AF47" s="18" t="s">
        <v>46</v>
      </c>
      <c r="AG47" s="18">
        <v>7.7960000000000003</v>
      </c>
      <c r="AH47" s="18" t="s">
        <v>362</v>
      </c>
      <c r="AI47" s="18" t="s">
        <v>363</v>
      </c>
      <c r="AJ47" s="18" t="s">
        <v>413</v>
      </c>
      <c r="AK47" s="18" t="s">
        <v>365</v>
      </c>
      <c r="AL47" s="18" t="s">
        <v>366</v>
      </c>
      <c r="AM47" s="18" t="s">
        <v>367</v>
      </c>
      <c r="AN47" s="18" t="s">
        <v>365</v>
      </c>
    </row>
    <row r="48" spans="1:40" ht="15" x14ac:dyDescent="0.25">
      <c r="A48" s="18" t="s">
        <v>107</v>
      </c>
      <c r="B48" s="18" t="s">
        <v>108</v>
      </c>
      <c r="C48" s="18" t="s">
        <v>361</v>
      </c>
      <c r="D48" s="18" t="s">
        <v>109</v>
      </c>
      <c r="E48" s="18" t="s">
        <v>43</v>
      </c>
      <c r="F48" s="18" t="s">
        <v>62</v>
      </c>
      <c r="G48" s="18" t="s">
        <v>63</v>
      </c>
      <c r="H48" s="18" t="s">
        <v>103</v>
      </c>
      <c r="I48" s="33">
        <v>6.0670000000000002</v>
      </c>
      <c r="J48" s="27">
        <v>8.43</v>
      </c>
      <c r="K48" s="28">
        <v>11.95</v>
      </c>
      <c r="L48" s="23">
        <f>SUM(((K48)/1.2)-(J48))/((K48)/1.2)</f>
        <v>0.15347280334728042</v>
      </c>
      <c r="M48" s="29">
        <v>6.0670000000000002</v>
      </c>
      <c r="N48" s="25">
        <f>(M48-I48)/I48</f>
        <v>0</v>
      </c>
      <c r="O48" s="26">
        <v>0.39</v>
      </c>
      <c r="P48" s="17">
        <f>M48+(M48*O48)</f>
        <v>8.4331300000000002</v>
      </c>
      <c r="Q48" s="12">
        <f>(P48*1.2)/(1-L48)</f>
        <v>11.954436951364178</v>
      </c>
      <c r="R48" s="13">
        <f>SUM(((Q48)/1.2)-(P48))/((Q48)/1.2)</f>
        <v>0.1534728033472805</v>
      </c>
      <c r="S48" s="18">
        <v>244</v>
      </c>
      <c r="T48" s="18" t="s">
        <v>356</v>
      </c>
      <c r="U48" s="18" t="s">
        <v>357</v>
      </c>
      <c r="V48" s="18" t="s">
        <v>357</v>
      </c>
      <c r="W48" s="18">
        <v>170</v>
      </c>
      <c r="X48" s="18" t="s">
        <v>416</v>
      </c>
      <c r="Y48" s="18">
        <v>14</v>
      </c>
      <c r="Z48" s="18">
        <v>4</v>
      </c>
      <c r="AA48" s="18">
        <v>98</v>
      </c>
      <c r="AB48" s="18">
        <v>37</v>
      </c>
      <c r="AC48" s="18">
        <v>47</v>
      </c>
      <c r="AD48" s="18">
        <v>1</v>
      </c>
      <c r="AE48" s="18" t="s">
        <v>417</v>
      </c>
      <c r="AF48" s="18" t="s">
        <v>46</v>
      </c>
      <c r="AG48" s="18">
        <v>6.0670000000000002</v>
      </c>
      <c r="AH48" s="18" t="s">
        <v>362</v>
      </c>
      <c r="AI48" s="18" t="s">
        <v>363</v>
      </c>
      <c r="AJ48" s="18" t="s">
        <v>418</v>
      </c>
      <c r="AK48" s="18" t="s">
        <v>365</v>
      </c>
      <c r="AL48" s="18" t="s">
        <v>366</v>
      </c>
      <c r="AM48" s="18" t="s">
        <v>367</v>
      </c>
      <c r="AN48" s="18" t="s">
        <v>365</v>
      </c>
    </row>
    <row r="49" spans="1:40" ht="15" x14ac:dyDescent="0.25">
      <c r="A49" s="18" t="s">
        <v>110</v>
      </c>
      <c r="B49" s="18" t="s">
        <v>111</v>
      </c>
      <c r="C49" s="18" t="s">
        <v>361</v>
      </c>
      <c r="D49" s="18" t="s">
        <v>112</v>
      </c>
      <c r="E49" s="18" t="s">
        <v>43</v>
      </c>
      <c r="F49" s="18" t="s">
        <v>62</v>
      </c>
      <c r="G49" s="18" t="s">
        <v>63</v>
      </c>
      <c r="H49" s="18" t="s">
        <v>103</v>
      </c>
      <c r="I49" s="32">
        <v>6.6589999999999998</v>
      </c>
      <c r="J49" s="21">
        <v>9.26</v>
      </c>
      <c r="K49" s="22">
        <v>12.95</v>
      </c>
      <c r="L49" s="23">
        <f>SUM(((K49)/1.2)-(J49))/((K49)/1.2)</f>
        <v>0.14193050193050191</v>
      </c>
      <c r="M49" s="24">
        <v>6.6589999999999998</v>
      </c>
      <c r="N49" s="25">
        <f>(M49-I49)/I49</f>
        <v>0</v>
      </c>
      <c r="O49" s="26">
        <v>0.39</v>
      </c>
      <c r="P49" s="17">
        <f>M49+(M49*O49)</f>
        <v>9.2560099999999998</v>
      </c>
      <c r="Q49" s="12">
        <f>(P49*1.2)/(1-L49)</f>
        <v>12.944420032397407</v>
      </c>
      <c r="R49" s="13">
        <f>SUM(((Q49)/1.2)-(P49))/((Q49)/1.2)</f>
        <v>0.14193050193050194</v>
      </c>
      <c r="S49" s="18">
        <v>340</v>
      </c>
      <c r="T49" s="18" t="s">
        <v>356</v>
      </c>
      <c r="U49" s="18" t="s">
        <v>357</v>
      </c>
      <c r="V49" s="18" t="s">
        <v>358</v>
      </c>
      <c r="W49" s="18">
        <v>208</v>
      </c>
      <c r="X49" s="18" t="s">
        <v>419</v>
      </c>
      <c r="Y49" s="18">
        <v>115</v>
      </c>
      <c r="Z49" s="18">
        <v>7</v>
      </c>
      <c r="AA49" s="18">
        <v>170</v>
      </c>
      <c r="AB49" s="18">
        <v>63</v>
      </c>
      <c r="AC49" s="18">
        <v>85</v>
      </c>
      <c r="AD49" s="18">
        <v>1</v>
      </c>
      <c r="AE49" s="18" t="s">
        <v>420</v>
      </c>
      <c r="AF49" s="18" t="s">
        <v>46</v>
      </c>
      <c r="AG49" s="18">
        <v>6.6589999999999998</v>
      </c>
      <c r="AH49" s="18" t="s">
        <v>362</v>
      </c>
      <c r="AI49" s="18" t="s">
        <v>363</v>
      </c>
      <c r="AJ49" s="18" t="s">
        <v>418</v>
      </c>
      <c r="AK49" s="18" t="s">
        <v>365</v>
      </c>
      <c r="AL49" s="18" t="s">
        <v>366</v>
      </c>
      <c r="AM49" s="18" t="s">
        <v>367</v>
      </c>
      <c r="AN49" s="18" t="s">
        <v>365</v>
      </c>
    </row>
    <row r="50" spans="1:40" ht="15" x14ac:dyDescent="0.25">
      <c r="A50" s="18" t="s">
        <v>113</v>
      </c>
      <c r="B50" s="18" t="s">
        <v>114</v>
      </c>
      <c r="C50" s="18" t="s">
        <v>361</v>
      </c>
      <c r="D50" s="18" t="s">
        <v>115</v>
      </c>
      <c r="E50" s="18" t="s">
        <v>43</v>
      </c>
      <c r="F50" s="18" t="s">
        <v>62</v>
      </c>
      <c r="G50" s="18" t="s">
        <v>63</v>
      </c>
      <c r="H50" s="18" t="s">
        <v>103</v>
      </c>
      <c r="I50" s="32">
        <v>8.5039999999999996</v>
      </c>
      <c r="J50" s="21">
        <v>11.82</v>
      </c>
      <c r="K50" s="22">
        <v>13.95</v>
      </c>
      <c r="L50" s="23">
        <f>SUM(((K50)/1.2)-(J50))/((K50)/1.2)</f>
        <v>-1.677419354838712E-2</v>
      </c>
      <c r="M50" s="24">
        <v>8.5039999999999996</v>
      </c>
      <c r="N50" s="25">
        <f>(M50-I50)/I50</f>
        <v>0</v>
      </c>
      <c r="O50" s="26">
        <v>0.39</v>
      </c>
      <c r="P50" s="17">
        <f>M50+(M50*O50)</f>
        <v>11.82056</v>
      </c>
      <c r="Q50" s="12">
        <f>(P50*1.2)/(1-L50)</f>
        <v>13.950660913705583</v>
      </c>
      <c r="R50" s="13">
        <f>SUM(((Q50)/1.2)-(P50))/((Q50)/1.2)</f>
        <v>-1.6774193548387169E-2</v>
      </c>
      <c r="S50" s="18">
        <v>2100</v>
      </c>
      <c r="T50" s="18" t="s">
        <v>356</v>
      </c>
      <c r="U50" s="18" t="s">
        <v>357</v>
      </c>
      <c r="V50" s="18" t="s">
        <v>388</v>
      </c>
      <c r="W50" s="18">
        <v>1699</v>
      </c>
      <c r="X50" s="18" t="s">
        <v>421</v>
      </c>
      <c r="Y50" s="18">
        <v>1309</v>
      </c>
      <c r="Z50" s="18">
        <v>68</v>
      </c>
      <c r="AA50" s="18">
        <v>2190</v>
      </c>
      <c r="AB50" s="18">
        <v>747</v>
      </c>
      <c r="AC50" s="18">
        <v>1208</v>
      </c>
      <c r="AD50" s="18">
        <v>1</v>
      </c>
      <c r="AE50" s="18" t="s">
        <v>422</v>
      </c>
      <c r="AF50" s="18" t="s">
        <v>46</v>
      </c>
      <c r="AG50" s="18">
        <v>8.5039999999999996</v>
      </c>
      <c r="AH50" s="18" t="s">
        <v>362</v>
      </c>
      <c r="AI50" s="18" t="s">
        <v>363</v>
      </c>
      <c r="AJ50" s="18" t="s">
        <v>418</v>
      </c>
      <c r="AK50" s="18" t="s">
        <v>365</v>
      </c>
      <c r="AL50" s="18" t="s">
        <v>366</v>
      </c>
      <c r="AM50" s="18" t="s">
        <v>367</v>
      </c>
      <c r="AN50" s="18" t="s">
        <v>365</v>
      </c>
    </row>
    <row r="51" spans="1:40" ht="15" x14ac:dyDescent="0.25">
      <c r="A51" s="18" t="s">
        <v>116</v>
      </c>
      <c r="B51" s="18" t="s">
        <v>117</v>
      </c>
      <c r="C51" s="18" t="s">
        <v>361</v>
      </c>
      <c r="D51" s="18" t="s">
        <v>118</v>
      </c>
      <c r="E51" s="18" t="s">
        <v>43</v>
      </c>
      <c r="F51" s="18" t="s">
        <v>62</v>
      </c>
      <c r="G51" s="18" t="s">
        <v>63</v>
      </c>
      <c r="H51" s="18" t="s">
        <v>103</v>
      </c>
      <c r="I51" s="33">
        <v>7.9080000000000004</v>
      </c>
      <c r="J51" s="27">
        <v>10.99</v>
      </c>
      <c r="K51" s="28">
        <v>13.5</v>
      </c>
      <c r="L51" s="23">
        <f>SUM(((K51)/1.2)-(J51))/((K51)/1.2)</f>
        <v>2.3111111111111093E-2</v>
      </c>
      <c r="M51" s="29">
        <v>7.9080000000000004</v>
      </c>
      <c r="N51" s="25">
        <f>(M51-I51)/I51</f>
        <v>0</v>
      </c>
      <c r="O51" s="26">
        <v>0.39</v>
      </c>
      <c r="P51" s="17">
        <f>M51+(M51*O51)</f>
        <v>10.99212</v>
      </c>
      <c r="Q51" s="12">
        <f>(P51*1.2)/(1-L51)</f>
        <v>13.502604185623293</v>
      </c>
      <c r="R51" s="13">
        <f>SUM(((Q51)/1.2)-(P51))/((Q51)/1.2)</f>
        <v>2.3111111111110999E-2</v>
      </c>
      <c r="S51" s="18">
        <v>503</v>
      </c>
      <c r="T51" s="18" t="s">
        <v>356</v>
      </c>
      <c r="U51" s="18" t="s">
        <v>357</v>
      </c>
      <c r="V51" s="18" t="s">
        <v>357</v>
      </c>
      <c r="W51" s="18">
        <v>308</v>
      </c>
      <c r="X51" s="18" t="s">
        <v>423</v>
      </c>
      <c r="Y51" s="18">
        <v>233</v>
      </c>
      <c r="Z51" s="18">
        <v>5</v>
      </c>
      <c r="AA51" s="18">
        <v>286</v>
      </c>
      <c r="AB51" s="18">
        <v>103</v>
      </c>
      <c r="AC51" s="18">
        <v>153</v>
      </c>
      <c r="AD51" s="18">
        <v>1</v>
      </c>
      <c r="AE51" s="18" t="s">
        <v>424</v>
      </c>
      <c r="AF51" s="18" t="s">
        <v>46</v>
      </c>
      <c r="AG51" s="18">
        <v>7.9080000000000004</v>
      </c>
      <c r="AH51" s="18" t="s">
        <v>362</v>
      </c>
      <c r="AI51" s="18" t="s">
        <v>363</v>
      </c>
      <c r="AJ51" s="18" t="s">
        <v>418</v>
      </c>
      <c r="AK51" s="18" t="s">
        <v>365</v>
      </c>
      <c r="AL51" s="18" t="s">
        <v>366</v>
      </c>
      <c r="AM51" s="18" t="s">
        <v>367</v>
      </c>
      <c r="AN51" s="18" t="s">
        <v>365</v>
      </c>
    </row>
    <row r="52" spans="1:40" ht="15" x14ac:dyDescent="0.25">
      <c r="A52" s="18" t="s">
        <v>119</v>
      </c>
      <c r="B52" s="18" t="s">
        <v>120</v>
      </c>
      <c r="C52" s="18" t="s">
        <v>361</v>
      </c>
      <c r="D52" s="18" t="s">
        <v>121</v>
      </c>
      <c r="E52" s="18" t="s">
        <v>43</v>
      </c>
      <c r="F52" s="18" t="s">
        <v>62</v>
      </c>
      <c r="G52" s="18" t="s">
        <v>63</v>
      </c>
      <c r="H52" s="18" t="s">
        <v>103</v>
      </c>
      <c r="I52" s="32">
        <v>3.0270000000000001</v>
      </c>
      <c r="J52" s="21">
        <v>4.21</v>
      </c>
      <c r="K52" s="22">
        <v>7.5</v>
      </c>
      <c r="L52" s="23">
        <f>SUM(((K52)/1.2)-(J52))/((K52)/1.2)</f>
        <v>0.32640000000000002</v>
      </c>
      <c r="M52" s="24">
        <v>3.0270000000000001</v>
      </c>
      <c r="N52" s="25">
        <f>(M52-I52)/I52</f>
        <v>0</v>
      </c>
      <c r="O52" s="26">
        <v>0.39</v>
      </c>
      <c r="P52" s="17">
        <f>M52+(M52*O52)</f>
        <v>4.2075300000000002</v>
      </c>
      <c r="Q52" s="12">
        <f>(P52*1.2)/(1-L52)</f>
        <v>7.4955997624703095</v>
      </c>
      <c r="R52" s="13">
        <f>SUM(((Q52)/1.2)-(P52))/((Q52)/1.2)</f>
        <v>0.32640000000000008</v>
      </c>
      <c r="S52" s="18">
        <v>462</v>
      </c>
      <c r="T52" s="18" t="s">
        <v>356</v>
      </c>
      <c r="U52" s="18" t="s">
        <v>357</v>
      </c>
      <c r="V52" s="18" t="s">
        <v>358</v>
      </c>
      <c r="W52" s="18">
        <v>319</v>
      </c>
      <c r="X52" s="18" t="s">
        <v>425</v>
      </c>
      <c r="Y52" s="18">
        <v>23</v>
      </c>
      <c r="Z52" s="18">
        <v>13</v>
      </c>
      <c r="AA52" s="18">
        <v>338</v>
      </c>
      <c r="AB52" s="18">
        <v>155</v>
      </c>
      <c r="AC52" s="18">
        <v>178</v>
      </c>
      <c r="AD52" s="18">
        <v>1</v>
      </c>
      <c r="AE52" s="18" t="s">
        <v>426</v>
      </c>
      <c r="AF52" s="18" t="s">
        <v>46</v>
      </c>
      <c r="AG52" s="18">
        <v>3.0270000000000001</v>
      </c>
      <c r="AH52" s="18" t="s">
        <v>362</v>
      </c>
      <c r="AI52" s="18" t="s">
        <v>363</v>
      </c>
      <c r="AJ52" s="18" t="s">
        <v>418</v>
      </c>
      <c r="AK52" s="18" t="s">
        <v>365</v>
      </c>
      <c r="AL52" s="18" t="s">
        <v>366</v>
      </c>
      <c r="AM52" s="18" t="s">
        <v>367</v>
      </c>
      <c r="AN52" s="18" t="s">
        <v>365</v>
      </c>
    </row>
    <row r="53" spans="1:40" ht="15" x14ac:dyDescent="0.25">
      <c r="A53" s="18" t="s">
        <v>122</v>
      </c>
      <c r="B53" s="18" t="s">
        <v>123</v>
      </c>
      <c r="C53" s="18" t="s">
        <v>361</v>
      </c>
      <c r="D53" s="18" t="s">
        <v>124</v>
      </c>
      <c r="E53" s="18" t="s">
        <v>43</v>
      </c>
      <c r="F53" s="18" t="s">
        <v>62</v>
      </c>
      <c r="G53" s="18" t="s">
        <v>63</v>
      </c>
      <c r="H53" s="18" t="s">
        <v>103</v>
      </c>
      <c r="I53" s="32">
        <v>2.1560000000000001</v>
      </c>
      <c r="J53" s="21">
        <v>3</v>
      </c>
      <c r="K53" s="22">
        <v>6.5</v>
      </c>
      <c r="L53" s="23">
        <f>SUM(((K53)/1.2)-(J53))/((K53)/1.2)</f>
        <v>0.44615384615384618</v>
      </c>
      <c r="M53" s="24">
        <v>2.1560000000000001</v>
      </c>
      <c r="N53" s="25">
        <f>(M53-I53)/I53</f>
        <v>0</v>
      </c>
      <c r="O53" s="26">
        <v>0.39</v>
      </c>
      <c r="P53" s="17">
        <f>M53+(M53*O53)</f>
        <v>2.9968400000000002</v>
      </c>
      <c r="Q53" s="12">
        <f>(P53*1.2)/(1-L53)</f>
        <v>6.4931533333333338</v>
      </c>
      <c r="R53" s="13">
        <f>SUM(((Q53)/1.2)-(P53))/((Q53)/1.2)</f>
        <v>0.44615384615384618</v>
      </c>
      <c r="S53" s="18">
        <v>151</v>
      </c>
      <c r="T53" s="18" t="s">
        <v>356</v>
      </c>
      <c r="U53" s="18" t="s">
        <v>357</v>
      </c>
      <c r="V53" s="18" t="s">
        <v>427</v>
      </c>
      <c r="W53" s="18">
        <v>196</v>
      </c>
      <c r="X53" s="18" t="s">
        <v>428</v>
      </c>
      <c r="Y53" s="18">
        <v>91</v>
      </c>
      <c r="Z53" s="18">
        <v>0</v>
      </c>
      <c r="AA53" s="18">
        <v>130</v>
      </c>
      <c r="AB53" s="18">
        <v>28</v>
      </c>
      <c r="AC53" s="18">
        <v>63</v>
      </c>
      <c r="AD53" s="18">
        <v>1</v>
      </c>
      <c r="AE53" s="18" t="s">
        <v>429</v>
      </c>
      <c r="AF53" s="18" t="s">
        <v>46</v>
      </c>
      <c r="AG53" s="18">
        <v>2.1560000000000001</v>
      </c>
      <c r="AH53" s="18" t="s">
        <v>362</v>
      </c>
      <c r="AI53" s="18" t="s">
        <v>401</v>
      </c>
      <c r="AJ53" s="18" t="s">
        <v>418</v>
      </c>
      <c r="AK53" s="18" t="s">
        <v>402</v>
      </c>
      <c r="AL53" s="18" t="s">
        <v>366</v>
      </c>
      <c r="AM53" s="18" t="s">
        <v>367</v>
      </c>
      <c r="AN53" s="18" t="s">
        <v>365</v>
      </c>
    </row>
    <row r="54" spans="1:40" ht="15" x14ac:dyDescent="0.25">
      <c r="A54" s="18" t="s">
        <v>125</v>
      </c>
      <c r="B54" s="18" t="s">
        <v>126</v>
      </c>
      <c r="C54" s="18" t="s">
        <v>361</v>
      </c>
      <c r="D54" s="18" t="s">
        <v>127</v>
      </c>
      <c r="E54" s="18" t="s">
        <v>43</v>
      </c>
      <c r="F54" s="18" t="s">
        <v>62</v>
      </c>
      <c r="G54" s="18" t="s">
        <v>63</v>
      </c>
      <c r="H54" s="18" t="s">
        <v>103</v>
      </c>
      <c r="I54" s="32">
        <v>2.1469999999999998</v>
      </c>
      <c r="J54" s="21">
        <v>2.98</v>
      </c>
      <c r="K54" s="22">
        <v>6.5</v>
      </c>
      <c r="L54" s="23">
        <f>SUM(((K54)/1.2)-(J54))/((K54)/1.2)</f>
        <v>0.4498461538461539</v>
      </c>
      <c r="M54" s="24">
        <v>2.1469999999999998</v>
      </c>
      <c r="N54" s="25">
        <f>(M54-I54)/I54</f>
        <v>0</v>
      </c>
      <c r="O54" s="26">
        <v>0.39</v>
      </c>
      <c r="P54" s="17">
        <f>M54+(M54*O54)</f>
        <v>2.9843299999999999</v>
      </c>
      <c r="Q54" s="12">
        <f>(P54*1.2)/(1-L54)</f>
        <v>6.5094446308724834</v>
      </c>
      <c r="R54" s="13">
        <f>SUM(((Q54)/1.2)-(P54))/((Q54)/1.2)</f>
        <v>0.4498461538461539</v>
      </c>
      <c r="S54" s="18">
        <v>704</v>
      </c>
      <c r="T54" s="18" t="s">
        <v>356</v>
      </c>
      <c r="U54" s="18" t="s">
        <v>357</v>
      </c>
      <c r="V54" s="18" t="s">
        <v>427</v>
      </c>
      <c r="W54" s="18">
        <v>185</v>
      </c>
      <c r="X54" s="18" t="s">
        <v>430</v>
      </c>
      <c r="Y54" s="18">
        <v>1</v>
      </c>
      <c r="Z54" s="18">
        <v>3</v>
      </c>
      <c r="AA54" s="18">
        <v>166</v>
      </c>
      <c r="AB54" s="18">
        <v>57</v>
      </c>
      <c r="AC54" s="18">
        <v>85</v>
      </c>
      <c r="AD54" s="18">
        <v>1</v>
      </c>
      <c r="AE54" s="18" t="s">
        <v>431</v>
      </c>
      <c r="AF54" s="18" t="s">
        <v>46</v>
      </c>
      <c r="AG54" s="18">
        <v>2.1469999999999998</v>
      </c>
      <c r="AH54" s="18" t="s">
        <v>362</v>
      </c>
      <c r="AI54" s="18" t="s">
        <v>363</v>
      </c>
      <c r="AJ54" s="18" t="s">
        <v>418</v>
      </c>
      <c r="AK54" s="18" t="s">
        <v>365</v>
      </c>
      <c r="AL54" s="18" t="s">
        <v>366</v>
      </c>
      <c r="AM54" s="18" t="s">
        <v>367</v>
      </c>
      <c r="AN54" s="18" t="s">
        <v>365</v>
      </c>
    </row>
    <row r="55" spans="1:40" ht="15" x14ac:dyDescent="0.25">
      <c r="A55" s="18" t="s">
        <v>128</v>
      </c>
      <c r="B55" s="18" t="s">
        <v>129</v>
      </c>
      <c r="C55" s="18" t="s">
        <v>361</v>
      </c>
      <c r="D55" s="18" t="s">
        <v>130</v>
      </c>
      <c r="E55" s="18" t="s">
        <v>43</v>
      </c>
      <c r="F55" s="18" t="s">
        <v>62</v>
      </c>
      <c r="G55" s="18" t="s">
        <v>63</v>
      </c>
      <c r="H55" s="18" t="s">
        <v>103</v>
      </c>
      <c r="I55" s="32">
        <v>3.3039999999999998</v>
      </c>
      <c r="J55" s="21">
        <v>4.59</v>
      </c>
      <c r="K55" s="22">
        <v>8.9499999999999993</v>
      </c>
      <c r="L55" s="23">
        <f>SUM(((K55)/1.2)-(J55))/((K55)/1.2)</f>
        <v>0.3845810055865922</v>
      </c>
      <c r="M55" s="24">
        <v>3.3039999999999998</v>
      </c>
      <c r="N55" s="25">
        <f>(M55-I55)/I55</f>
        <v>0</v>
      </c>
      <c r="O55" s="26">
        <v>0.39</v>
      </c>
      <c r="P55" s="17">
        <f>M55+(M55*O55)</f>
        <v>4.5925599999999998</v>
      </c>
      <c r="Q55" s="12">
        <f>(P55*1.2)/(1-L55)</f>
        <v>8.9549917211328971</v>
      </c>
      <c r="R55" s="13">
        <f>SUM(((Q55)/1.2)-(P55))/((Q55)/1.2)</f>
        <v>0.3845810055865922</v>
      </c>
      <c r="S55" s="18">
        <v>355</v>
      </c>
      <c r="T55" s="18" t="s">
        <v>356</v>
      </c>
      <c r="U55" s="18" t="s">
        <v>357</v>
      </c>
      <c r="V55" s="18" t="s">
        <v>388</v>
      </c>
      <c r="W55" s="18">
        <v>446</v>
      </c>
      <c r="X55" s="18" t="s">
        <v>432</v>
      </c>
      <c r="Y55" s="18">
        <v>838</v>
      </c>
      <c r="Z55" s="18">
        <v>18</v>
      </c>
      <c r="AA55" s="18">
        <v>442</v>
      </c>
      <c r="AB55" s="18">
        <v>207</v>
      </c>
      <c r="AC55" s="18">
        <v>242</v>
      </c>
      <c r="AD55" s="18">
        <v>1</v>
      </c>
      <c r="AE55" s="18" t="s">
        <v>433</v>
      </c>
      <c r="AF55" s="18" t="s">
        <v>46</v>
      </c>
      <c r="AG55" s="18">
        <v>3.3039999999999998</v>
      </c>
      <c r="AH55" s="18" t="s">
        <v>362</v>
      </c>
      <c r="AI55" s="18" t="s">
        <v>363</v>
      </c>
      <c r="AJ55" s="18" t="s">
        <v>418</v>
      </c>
      <c r="AK55" s="18" t="s">
        <v>365</v>
      </c>
      <c r="AL55" s="18" t="s">
        <v>366</v>
      </c>
      <c r="AM55" s="18" t="s">
        <v>367</v>
      </c>
      <c r="AN55" s="18" t="s">
        <v>365</v>
      </c>
    </row>
    <row r="56" spans="1:40" ht="15" x14ac:dyDescent="0.25">
      <c r="A56" s="18" t="s">
        <v>131</v>
      </c>
      <c r="B56" s="18" t="s">
        <v>132</v>
      </c>
      <c r="C56" s="18" t="s">
        <v>361</v>
      </c>
      <c r="D56" s="18" t="s">
        <v>133</v>
      </c>
      <c r="E56" s="18" t="s">
        <v>43</v>
      </c>
      <c r="F56" s="18" t="s">
        <v>62</v>
      </c>
      <c r="G56" s="18" t="s">
        <v>63</v>
      </c>
      <c r="H56" s="18" t="s">
        <v>103</v>
      </c>
      <c r="I56" s="32">
        <v>3.1070000000000002</v>
      </c>
      <c r="J56" s="21">
        <v>4.32</v>
      </c>
      <c r="K56" s="22">
        <v>8.5</v>
      </c>
      <c r="L56" s="23">
        <f>SUM(((K56)/1.2)-(J56))/((K56)/1.2)</f>
        <v>0.39011764705882351</v>
      </c>
      <c r="M56" s="24">
        <v>3.1070000000000002</v>
      </c>
      <c r="N56" s="25">
        <f>(M56-I56)/I56</f>
        <v>0</v>
      </c>
      <c r="O56" s="26">
        <v>0.39</v>
      </c>
      <c r="P56" s="17">
        <f>M56+(M56*O56)</f>
        <v>4.3187300000000004</v>
      </c>
      <c r="Q56" s="12">
        <f>(P56*1.2)/(1-L56)</f>
        <v>8.4975011574074077</v>
      </c>
      <c r="R56" s="13">
        <f>SUM(((Q56)/1.2)-(P56))/((Q56)/1.2)</f>
        <v>0.39011764705882351</v>
      </c>
      <c r="S56" s="18">
        <v>408</v>
      </c>
      <c r="T56" s="18" t="s">
        <v>356</v>
      </c>
      <c r="U56" s="18" t="s">
        <v>357</v>
      </c>
      <c r="V56" s="18" t="s">
        <v>357</v>
      </c>
      <c r="W56" s="18">
        <v>188</v>
      </c>
      <c r="X56" s="18" t="s">
        <v>434</v>
      </c>
      <c r="Y56" s="18">
        <v>406</v>
      </c>
      <c r="Z56" s="18">
        <v>4</v>
      </c>
      <c r="AA56" s="18">
        <v>130</v>
      </c>
      <c r="AB56" s="18">
        <v>57</v>
      </c>
      <c r="AC56" s="18">
        <v>63</v>
      </c>
      <c r="AD56" s="18">
        <v>1</v>
      </c>
      <c r="AE56" s="18" t="s">
        <v>435</v>
      </c>
      <c r="AF56" s="18" t="s">
        <v>46</v>
      </c>
      <c r="AG56" s="18">
        <v>3.1070000000000002</v>
      </c>
      <c r="AH56" s="18" t="s">
        <v>362</v>
      </c>
      <c r="AI56" s="18" t="s">
        <v>363</v>
      </c>
      <c r="AJ56" s="18" t="s">
        <v>418</v>
      </c>
      <c r="AK56" s="18" t="s">
        <v>365</v>
      </c>
      <c r="AL56" s="18" t="s">
        <v>366</v>
      </c>
      <c r="AM56" s="18" t="s">
        <v>367</v>
      </c>
      <c r="AN56" s="18" t="s">
        <v>365</v>
      </c>
    </row>
    <row r="57" spans="1:40" ht="15" x14ac:dyDescent="0.25">
      <c r="A57" s="18" t="s">
        <v>134</v>
      </c>
      <c r="B57" s="18" t="s">
        <v>135</v>
      </c>
      <c r="C57" s="18" t="s">
        <v>361</v>
      </c>
      <c r="D57" s="18" t="s">
        <v>136</v>
      </c>
      <c r="E57" s="18" t="s">
        <v>43</v>
      </c>
      <c r="F57" s="18" t="s">
        <v>137</v>
      </c>
      <c r="G57" s="18" t="s">
        <v>138</v>
      </c>
      <c r="H57" s="18" t="s">
        <v>46</v>
      </c>
      <c r="I57" s="32">
        <v>3.7749999999999999</v>
      </c>
      <c r="J57" s="21">
        <v>4.38</v>
      </c>
      <c r="K57" s="22">
        <v>9.9499999999999993</v>
      </c>
      <c r="L57" s="23">
        <f>SUM(((K57)/1.2)-(J57))/((K57)/1.2)</f>
        <v>0.47175879396984921</v>
      </c>
      <c r="M57" s="24">
        <v>3.7749999999999999</v>
      </c>
      <c r="N57" s="25">
        <f>(M57-I57)/I57</f>
        <v>0</v>
      </c>
      <c r="O57" s="26">
        <v>0.16064682677061942</v>
      </c>
      <c r="P57" s="17">
        <f>M57+(M57*O57)</f>
        <v>4.3814417710590883</v>
      </c>
      <c r="Q57" s="12">
        <f>(P57*1.2)/(1-L57)</f>
        <v>9.9532752561730433</v>
      </c>
      <c r="R57" s="13">
        <f>SUM(((Q57)/1.2)-(P57))/((Q57)/1.2)</f>
        <v>0.47175879396984932</v>
      </c>
      <c r="S57" s="18">
        <v>353</v>
      </c>
      <c r="T57" s="18" t="s">
        <v>356</v>
      </c>
      <c r="U57" s="18" t="s">
        <v>370</v>
      </c>
      <c r="V57" s="18" t="s">
        <v>371</v>
      </c>
      <c r="W57" s="18">
        <v>138</v>
      </c>
      <c r="X57" s="18" t="s">
        <v>436</v>
      </c>
      <c r="Y57" s="18">
        <v>0</v>
      </c>
      <c r="Z57" s="18">
        <v>8</v>
      </c>
      <c r="AA57" s="18">
        <v>78</v>
      </c>
      <c r="AB57" s="18">
        <v>21</v>
      </c>
      <c r="AC57" s="18">
        <v>42</v>
      </c>
      <c r="AD57" s="18">
        <v>8</v>
      </c>
      <c r="AE57" s="18" t="s">
        <v>437</v>
      </c>
      <c r="AF57" s="18" t="s">
        <v>46</v>
      </c>
      <c r="AG57" s="18">
        <v>3.7749999999999999</v>
      </c>
      <c r="AH57" s="18" t="s">
        <v>362</v>
      </c>
      <c r="AI57" s="18" t="s">
        <v>363</v>
      </c>
      <c r="AJ57" s="18" t="s">
        <v>438</v>
      </c>
      <c r="AK57" s="18" t="s">
        <v>365</v>
      </c>
      <c r="AL57" s="18" t="s">
        <v>381</v>
      </c>
      <c r="AM57" s="18" t="s">
        <v>367</v>
      </c>
      <c r="AN57" s="18" t="s">
        <v>365</v>
      </c>
    </row>
    <row r="58" spans="1:40" ht="15" x14ac:dyDescent="0.25">
      <c r="A58" s="18" t="s">
        <v>139</v>
      </c>
      <c r="B58" s="18" t="s">
        <v>140</v>
      </c>
      <c r="C58" s="18" t="s">
        <v>361</v>
      </c>
      <c r="D58" s="18" t="s">
        <v>141</v>
      </c>
      <c r="E58" s="18" t="s">
        <v>43</v>
      </c>
      <c r="F58" s="18" t="s">
        <v>137</v>
      </c>
      <c r="G58" s="18" t="s">
        <v>138</v>
      </c>
      <c r="H58" s="18" t="s">
        <v>46</v>
      </c>
      <c r="I58" s="32">
        <v>2.9830000000000001</v>
      </c>
      <c r="J58" s="21">
        <v>3.46</v>
      </c>
      <c r="K58" s="22">
        <v>8.9499999999999993</v>
      </c>
      <c r="L58" s="23">
        <f>SUM(((K58)/1.2)-(J58))/((K58)/1.2)</f>
        <v>0.53608938547486029</v>
      </c>
      <c r="M58" s="24">
        <v>2.9830000000000001</v>
      </c>
      <c r="N58" s="25">
        <f>(M58-I58)/I58</f>
        <v>0</v>
      </c>
      <c r="O58" s="26">
        <v>0.16064682677061942</v>
      </c>
      <c r="P58" s="17">
        <f>M58+(M58*O58)</f>
        <v>3.4622094842567579</v>
      </c>
      <c r="Q58" s="12">
        <f>(P58*1.2)/(1-L58)</f>
        <v>8.9557152844213803</v>
      </c>
      <c r="R58" s="13">
        <f>SUM(((Q58)/1.2)-(P58))/((Q58)/1.2)</f>
        <v>0.53608938547486029</v>
      </c>
      <c r="S58" s="18">
        <v>377</v>
      </c>
      <c r="T58" s="18" t="s">
        <v>356</v>
      </c>
      <c r="U58" s="18" t="s">
        <v>370</v>
      </c>
      <c r="V58" s="18" t="s">
        <v>427</v>
      </c>
      <c r="W58" s="18">
        <v>110</v>
      </c>
      <c r="X58" s="18" t="s">
        <v>439</v>
      </c>
      <c r="Y58" s="18">
        <v>0</v>
      </c>
      <c r="Z58" s="18">
        <v>0</v>
      </c>
      <c r="AA58" s="18">
        <v>102</v>
      </c>
      <c r="AB58" s="18">
        <v>23</v>
      </c>
      <c r="AC58" s="18">
        <v>56</v>
      </c>
      <c r="AD58" s="18">
        <v>8</v>
      </c>
      <c r="AE58" s="18" t="s">
        <v>440</v>
      </c>
      <c r="AF58" s="18" t="s">
        <v>46</v>
      </c>
      <c r="AG58" s="18">
        <v>2.9830000000000001</v>
      </c>
      <c r="AH58" s="18" t="s">
        <v>362</v>
      </c>
      <c r="AI58" s="18" t="s">
        <v>363</v>
      </c>
      <c r="AJ58" s="18" t="s">
        <v>438</v>
      </c>
      <c r="AK58" s="18" t="s">
        <v>365</v>
      </c>
      <c r="AL58" s="18" t="s">
        <v>381</v>
      </c>
      <c r="AM58" s="18" t="s">
        <v>367</v>
      </c>
      <c r="AN58" s="18" t="s">
        <v>365</v>
      </c>
    </row>
    <row r="59" spans="1:40" ht="15" x14ac:dyDescent="0.25">
      <c r="A59" s="18" t="s">
        <v>142</v>
      </c>
      <c r="B59" s="18" t="s">
        <v>143</v>
      </c>
      <c r="C59" s="18" t="s">
        <v>361</v>
      </c>
      <c r="D59" s="18" t="s">
        <v>144</v>
      </c>
      <c r="E59" s="18" t="s">
        <v>43</v>
      </c>
      <c r="F59" s="18" t="s">
        <v>137</v>
      </c>
      <c r="G59" s="18" t="s">
        <v>138</v>
      </c>
      <c r="H59" s="18" t="s">
        <v>46</v>
      </c>
      <c r="I59" s="32">
        <v>8.4949999999999992</v>
      </c>
      <c r="J59" s="21">
        <v>9.86</v>
      </c>
      <c r="K59" s="22">
        <v>17.95</v>
      </c>
      <c r="L59" s="23">
        <f>SUM(((K59)/1.2)-(J59))/((K59)/1.2)</f>
        <v>0.34083565459610032</v>
      </c>
      <c r="M59" s="24">
        <v>8.4949999999999992</v>
      </c>
      <c r="N59" s="25">
        <f>(M59-I59)/I59</f>
        <v>0</v>
      </c>
      <c r="O59" s="26">
        <v>0.16064682677061942</v>
      </c>
      <c r="P59" s="17">
        <f>M59+(M59*O59)</f>
        <v>9.859694793416411</v>
      </c>
      <c r="Q59" s="12">
        <f>(P59*1.2)/(1-L59)</f>
        <v>17.949444375438599</v>
      </c>
      <c r="R59" s="13">
        <f>SUM(((Q59)/1.2)-(P59))/((Q59)/1.2)</f>
        <v>0.34083565459610038</v>
      </c>
      <c r="S59" s="18">
        <v>282</v>
      </c>
      <c r="T59" s="18" t="s">
        <v>356</v>
      </c>
      <c r="U59" s="18" t="s">
        <v>370</v>
      </c>
      <c r="V59" s="18" t="s">
        <v>393</v>
      </c>
      <c r="W59" s="18">
        <v>88</v>
      </c>
      <c r="X59" s="18" t="s">
        <v>441</v>
      </c>
      <c r="Y59" s="18">
        <v>0</v>
      </c>
      <c r="Z59" s="18">
        <v>0</v>
      </c>
      <c r="AA59" s="18">
        <v>82</v>
      </c>
      <c r="AB59" s="18">
        <v>5</v>
      </c>
      <c r="AC59" s="18">
        <v>41</v>
      </c>
      <c r="AD59" s="18">
        <v>1</v>
      </c>
      <c r="AE59" s="18" t="s">
        <v>442</v>
      </c>
      <c r="AF59" s="18" t="s">
        <v>46</v>
      </c>
      <c r="AG59" s="18">
        <v>8.4949999999999992</v>
      </c>
      <c r="AH59" s="18" t="s">
        <v>443</v>
      </c>
      <c r="AI59" s="18" t="s">
        <v>363</v>
      </c>
      <c r="AJ59" s="18" t="s">
        <v>444</v>
      </c>
      <c r="AK59" s="18" t="s">
        <v>445</v>
      </c>
      <c r="AL59" s="18" t="s">
        <v>381</v>
      </c>
      <c r="AM59" s="18" t="s">
        <v>367</v>
      </c>
      <c r="AN59" s="18" t="s">
        <v>365</v>
      </c>
    </row>
    <row r="60" spans="1:40" ht="15" x14ac:dyDescent="0.25">
      <c r="A60" s="18" t="s">
        <v>145</v>
      </c>
      <c r="B60" s="18" t="s">
        <v>146</v>
      </c>
      <c r="C60" s="18" t="s">
        <v>361</v>
      </c>
      <c r="D60" s="18" t="s">
        <v>147</v>
      </c>
      <c r="E60" s="18" t="s">
        <v>43</v>
      </c>
      <c r="F60" s="18" t="s">
        <v>137</v>
      </c>
      <c r="G60" s="18" t="s">
        <v>138</v>
      </c>
      <c r="H60" s="18" t="s">
        <v>46</v>
      </c>
      <c r="I60" s="32">
        <v>7.7839999999999998</v>
      </c>
      <c r="J60" s="21">
        <v>9.0299999999999994</v>
      </c>
      <c r="K60" s="22">
        <v>17.95</v>
      </c>
      <c r="L60" s="23">
        <f>SUM(((K60)/1.2)-(J60))/((K60)/1.2)</f>
        <v>0.39632311977715884</v>
      </c>
      <c r="M60" s="24">
        <v>7.7839999999999998</v>
      </c>
      <c r="N60" s="25">
        <f>(M60-I60)/I60</f>
        <v>0</v>
      </c>
      <c r="O60" s="26">
        <v>0.16064682677061942</v>
      </c>
      <c r="P60" s="17">
        <f>M60+(M60*O60)</f>
        <v>9.0344748995825022</v>
      </c>
      <c r="Q60" s="12">
        <f>(P60*1.2)/(1-L60)</f>
        <v>17.958895287652926</v>
      </c>
      <c r="R60" s="13">
        <f>SUM(((Q60)/1.2)-(P60))/((Q60)/1.2)</f>
        <v>0.39632311977715884</v>
      </c>
      <c r="S60" s="18">
        <v>442</v>
      </c>
      <c r="T60" s="18" t="s">
        <v>356</v>
      </c>
      <c r="U60" s="18" t="s">
        <v>370</v>
      </c>
      <c r="V60" s="18" t="s">
        <v>393</v>
      </c>
      <c r="W60" s="18">
        <v>83</v>
      </c>
      <c r="X60" s="18" t="s">
        <v>446</v>
      </c>
      <c r="Y60" s="18">
        <v>0</v>
      </c>
      <c r="Z60" s="18">
        <v>0</v>
      </c>
      <c r="AA60" s="18">
        <v>24</v>
      </c>
      <c r="AB60" s="18">
        <v>3</v>
      </c>
      <c r="AC60" s="18">
        <v>10</v>
      </c>
      <c r="AD60" s="18">
        <v>1</v>
      </c>
      <c r="AE60" s="18" t="s">
        <v>447</v>
      </c>
      <c r="AF60" s="18" t="s">
        <v>46</v>
      </c>
      <c r="AG60" s="18">
        <v>7.7839999999999998</v>
      </c>
      <c r="AH60" s="18" t="s">
        <v>443</v>
      </c>
      <c r="AI60" s="18" t="s">
        <v>401</v>
      </c>
      <c r="AJ60" s="18" t="s">
        <v>444</v>
      </c>
      <c r="AK60" s="18" t="s">
        <v>445</v>
      </c>
      <c r="AL60" s="18" t="s">
        <v>366</v>
      </c>
      <c r="AM60" s="18" t="s">
        <v>367</v>
      </c>
      <c r="AN60" s="18" t="s">
        <v>365</v>
      </c>
    </row>
    <row r="61" spans="1:40" ht="15" x14ac:dyDescent="0.25">
      <c r="A61" s="18" t="s">
        <v>148</v>
      </c>
      <c r="B61" s="18" t="s">
        <v>149</v>
      </c>
      <c r="C61" s="18" t="s">
        <v>361</v>
      </c>
      <c r="D61" s="18" t="s">
        <v>150</v>
      </c>
      <c r="E61" s="18" t="s">
        <v>43</v>
      </c>
      <c r="F61" s="18" t="s">
        <v>137</v>
      </c>
      <c r="G61" s="18" t="s">
        <v>138</v>
      </c>
      <c r="H61" s="18" t="s">
        <v>46</v>
      </c>
      <c r="I61" s="32">
        <v>2.0099999999999998</v>
      </c>
      <c r="J61" s="21">
        <v>2.33</v>
      </c>
      <c r="K61" s="22">
        <v>4.5</v>
      </c>
      <c r="L61" s="23">
        <f>SUM(((K61)/1.2)-(J61))/((K61)/1.2)</f>
        <v>0.37866666666666665</v>
      </c>
      <c r="M61" s="24">
        <v>2.0099999999999998</v>
      </c>
      <c r="N61" s="25">
        <f>(M61-I61)/I61</f>
        <v>0</v>
      </c>
      <c r="O61" s="26">
        <v>0.16064682677061942</v>
      </c>
      <c r="P61" s="17">
        <f>M61+(M61*O61)</f>
        <v>2.3329001218089447</v>
      </c>
      <c r="Q61" s="12">
        <f>(P61*1.2)/(1-L61)</f>
        <v>4.5056010936224258</v>
      </c>
      <c r="R61" s="13">
        <f>SUM(((Q61)/1.2)-(P61))/((Q61)/1.2)</f>
        <v>0.37866666666666676</v>
      </c>
      <c r="S61" s="18">
        <v>259</v>
      </c>
      <c r="T61" s="18" t="s">
        <v>356</v>
      </c>
      <c r="U61" s="18" t="s">
        <v>370</v>
      </c>
      <c r="V61" s="18" t="s">
        <v>357</v>
      </c>
      <c r="W61" s="18">
        <v>198</v>
      </c>
      <c r="X61" s="18" t="s">
        <v>448</v>
      </c>
      <c r="Y61" s="18">
        <v>337</v>
      </c>
      <c r="Z61" s="18">
        <v>34</v>
      </c>
      <c r="AA61" s="18">
        <v>304</v>
      </c>
      <c r="AB61" s="18">
        <v>69</v>
      </c>
      <c r="AC61" s="18">
        <v>164</v>
      </c>
      <c r="AD61" s="18">
        <v>1</v>
      </c>
      <c r="AE61" s="18" t="s">
        <v>449</v>
      </c>
      <c r="AF61" s="18" t="s">
        <v>46</v>
      </c>
      <c r="AG61" s="18">
        <v>2.0099999999999998</v>
      </c>
      <c r="AH61" s="18" t="s">
        <v>362</v>
      </c>
      <c r="AI61" s="18" t="s">
        <v>363</v>
      </c>
      <c r="AJ61" s="18" t="s">
        <v>438</v>
      </c>
      <c r="AK61" s="18" t="s">
        <v>365</v>
      </c>
      <c r="AL61" s="18" t="s">
        <v>381</v>
      </c>
      <c r="AM61" s="18" t="s">
        <v>367</v>
      </c>
      <c r="AN61" s="18" t="s">
        <v>365</v>
      </c>
    </row>
    <row r="62" spans="1:40" ht="15" x14ac:dyDescent="0.25">
      <c r="A62" s="18" t="s">
        <v>151</v>
      </c>
      <c r="B62" s="18" t="s">
        <v>152</v>
      </c>
      <c r="C62" s="18" t="s">
        <v>361</v>
      </c>
      <c r="D62" s="18" t="s">
        <v>153</v>
      </c>
      <c r="E62" s="18" t="s">
        <v>43</v>
      </c>
      <c r="F62" s="18" t="s">
        <v>137</v>
      </c>
      <c r="G62" s="18" t="s">
        <v>138</v>
      </c>
      <c r="H62" s="18" t="s">
        <v>46</v>
      </c>
      <c r="I62" s="32">
        <v>2.5619999999999998</v>
      </c>
      <c r="J62" s="21">
        <v>2.97</v>
      </c>
      <c r="K62" s="22">
        <v>5.95</v>
      </c>
      <c r="L62" s="23">
        <f>SUM(((K62)/1.2)-(J62))/((K62)/1.2)</f>
        <v>0.40100840336134458</v>
      </c>
      <c r="M62" s="24">
        <v>2.5619999999999998</v>
      </c>
      <c r="N62" s="25">
        <f>(M62-I62)/I62</f>
        <v>0</v>
      </c>
      <c r="O62" s="26">
        <v>0.16064682677061942</v>
      </c>
      <c r="P62" s="17">
        <f>M62+(M62*O62)</f>
        <v>2.9735771701863269</v>
      </c>
      <c r="Q62" s="12">
        <f>(P62*1.2)/(1-L62)</f>
        <v>5.9571663847167153</v>
      </c>
      <c r="R62" s="13">
        <f>SUM(((Q62)/1.2)-(P62))/((Q62)/1.2)</f>
        <v>0.40100840336134452</v>
      </c>
      <c r="S62" s="18">
        <v>199</v>
      </c>
      <c r="T62" s="18" t="s">
        <v>356</v>
      </c>
      <c r="U62" s="18" t="s">
        <v>370</v>
      </c>
      <c r="V62" s="18" t="s">
        <v>371</v>
      </c>
      <c r="W62" s="18">
        <v>139</v>
      </c>
      <c r="X62" s="18" t="s">
        <v>450</v>
      </c>
      <c r="Y62" s="18">
        <v>12</v>
      </c>
      <c r="Z62" s="18">
        <v>14</v>
      </c>
      <c r="AA62" s="18">
        <v>96</v>
      </c>
      <c r="AB62" s="18">
        <v>32</v>
      </c>
      <c r="AC62" s="18">
        <v>52</v>
      </c>
      <c r="AD62" s="18">
        <v>1</v>
      </c>
      <c r="AE62" s="18" t="s">
        <v>451</v>
      </c>
      <c r="AF62" s="18" t="s">
        <v>46</v>
      </c>
      <c r="AG62" s="18">
        <v>2.5619999999999998</v>
      </c>
      <c r="AH62" s="18" t="s">
        <v>362</v>
      </c>
      <c r="AI62" s="18" t="s">
        <v>363</v>
      </c>
      <c r="AJ62" s="18" t="s">
        <v>438</v>
      </c>
      <c r="AK62" s="18" t="s">
        <v>365</v>
      </c>
      <c r="AL62" s="18" t="s">
        <v>381</v>
      </c>
      <c r="AM62" s="18" t="s">
        <v>367</v>
      </c>
      <c r="AN62" s="18" t="s">
        <v>365</v>
      </c>
    </row>
    <row r="63" spans="1:40" ht="15" x14ac:dyDescent="0.25">
      <c r="A63" s="18" t="s">
        <v>160</v>
      </c>
      <c r="B63" s="18" t="s">
        <v>161</v>
      </c>
      <c r="C63" s="18" t="s">
        <v>361</v>
      </c>
      <c r="D63" s="18" t="s">
        <v>162</v>
      </c>
      <c r="E63" s="18" t="s">
        <v>43</v>
      </c>
      <c r="F63" s="18" t="s">
        <v>157</v>
      </c>
      <c r="G63" s="18" t="s">
        <v>158</v>
      </c>
      <c r="H63" s="18" t="s">
        <v>159</v>
      </c>
      <c r="I63" s="33">
        <v>6.0449999999999999</v>
      </c>
      <c r="J63" s="27">
        <v>6.89</v>
      </c>
      <c r="K63" s="28">
        <v>14.5</v>
      </c>
      <c r="L63" s="23">
        <f>SUM(((K63)/1.2)-(J63))/((K63)/1.2)</f>
        <v>0.42979310344827593</v>
      </c>
      <c r="M63" s="29">
        <v>6.0449999999999999</v>
      </c>
      <c r="N63" s="25">
        <f>(M63-I63)/I63</f>
        <v>0</v>
      </c>
      <c r="O63" s="26">
        <v>0.14000000000000001</v>
      </c>
      <c r="P63" s="17">
        <f>M63+(M63*O63)</f>
        <v>6.8913000000000002</v>
      </c>
      <c r="Q63" s="12">
        <f>(P63*1.2)/(1-L63)</f>
        <v>14.502735849056606</v>
      </c>
      <c r="R63" s="13">
        <f>SUM(((Q63)/1.2)-(P63))/((Q63)/1.2)</f>
        <v>0.42979310344827598</v>
      </c>
      <c r="S63" s="18">
        <v>578</v>
      </c>
      <c r="T63" s="18" t="s">
        <v>356</v>
      </c>
      <c r="U63" s="18" t="s">
        <v>370</v>
      </c>
      <c r="V63" s="18" t="s">
        <v>455</v>
      </c>
      <c r="W63" s="18">
        <v>60</v>
      </c>
      <c r="X63" s="18" t="s">
        <v>456</v>
      </c>
      <c r="Y63" s="18">
        <v>6</v>
      </c>
      <c r="Z63" s="18">
        <v>0</v>
      </c>
      <c r="AA63" s="18">
        <v>28</v>
      </c>
      <c r="AB63" s="18">
        <v>0</v>
      </c>
      <c r="AC63" s="18">
        <v>13</v>
      </c>
      <c r="AD63" s="18">
        <v>1</v>
      </c>
      <c r="AE63" s="18" t="s">
        <v>454</v>
      </c>
      <c r="AF63" s="18" t="s">
        <v>46</v>
      </c>
      <c r="AG63" s="18">
        <v>6.0449999999999999</v>
      </c>
      <c r="AH63" s="18" t="s">
        <v>362</v>
      </c>
      <c r="AI63" s="18" t="s">
        <v>363</v>
      </c>
      <c r="AJ63" s="18" t="s">
        <v>365</v>
      </c>
      <c r="AK63" s="18" t="s">
        <v>365</v>
      </c>
      <c r="AL63" s="18" t="s">
        <v>381</v>
      </c>
      <c r="AM63" s="18" t="s">
        <v>367</v>
      </c>
      <c r="AN63" s="18" t="s">
        <v>365</v>
      </c>
    </row>
    <row r="64" spans="1:40" ht="15" x14ac:dyDescent="0.25">
      <c r="A64" s="18" t="s">
        <v>163</v>
      </c>
      <c r="B64" s="18" t="s">
        <v>164</v>
      </c>
      <c r="C64" s="18" t="s">
        <v>361</v>
      </c>
      <c r="D64" s="18" t="s">
        <v>165</v>
      </c>
      <c r="E64" s="18" t="s">
        <v>43</v>
      </c>
      <c r="F64" s="18" t="s">
        <v>166</v>
      </c>
      <c r="G64" s="18" t="s">
        <v>167</v>
      </c>
      <c r="H64" s="18" t="s">
        <v>159</v>
      </c>
      <c r="I64" s="32">
        <v>5.444</v>
      </c>
      <c r="J64" s="21">
        <v>5.93</v>
      </c>
      <c r="K64" s="22">
        <v>12.95</v>
      </c>
      <c r="L64" s="23">
        <f>SUM(((K64)/1.2)-(J64))/((K64)/1.2)</f>
        <v>0.45050193050193049</v>
      </c>
      <c r="M64" s="24">
        <v>5.444</v>
      </c>
      <c r="N64" s="25">
        <f>(M64-I64)/I64</f>
        <v>0</v>
      </c>
      <c r="O64" s="30">
        <v>0.09</v>
      </c>
      <c r="P64" s="17">
        <f>M64+(M64*O64)</f>
        <v>5.9339599999999999</v>
      </c>
      <c r="Q64" s="12">
        <f>(P64*1.2)/(1-L64)</f>
        <v>12.958647892074197</v>
      </c>
      <c r="R64" s="13">
        <f>SUM(((Q64)/1.2)-(P64))/((Q64)/1.2)</f>
        <v>0.45050193050193044</v>
      </c>
      <c r="S64" s="18">
        <v>449</v>
      </c>
      <c r="T64" s="18" t="s">
        <v>356</v>
      </c>
      <c r="U64" s="18" t="s">
        <v>370</v>
      </c>
      <c r="V64" s="18" t="s">
        <v>452</v>
      </c>
      <c r="W64" s="18">
        <v>61</v>
      </c>
      <c r="X64" s="18" t="s">
        <v>457</v>
      </c>
      <c r="Y64" s="18">
        <v>0</v>
      </c>
      <c r="Z64" s="18">
        <v>0</v>
      </c>
      <c r="AA64" s="18">
        <v>14</v>
      </c>
      <c r="AB64" s="18">
        <v>0</v>
      </c>
      <c r="AC64" s="18">
        <v>7</v>
      </c>
      <c r="AD64" s="18">
        <v>1</v>
      </c>
      <c r="AE64" s="18" t="s">
        <v>454</v>
      </c>
      <c r="AF64" s="18" t="s">
        <v>46</v>
      </c>
      <c r="AG64" s="18">
        <v>5.444</v>
      </c>
      <c r="AH64" s="18" t="s">
        <v>362</v>
      </c>
      <c r="AI64" s="18" t="s">
        <v>363</v>
      </c>
      <c r="AJ64" s="18" t="s">
        <v>365</v>
      </c>
      <c r="AK64" s="18" t="s">
        <v>365</v>
      </c>
      <c r="AL64" s="18" t="s">
        <v>381</v>
      </c>
      <c r="AM64" s="18" t="s">
        <v>367</v>
      </c>
      <c r="AN64" s="18" t="s">
        <v>365</v>
      </c>
    </row>
    <row r="65" spans="1:40" ht="15" x14ac:dyDescent="0.25">
      <c r="A65" s="18" t="s">
        <v>168</v>
      </c>
      <c r="B65" s="18" t="s">
        <v>169</v>
      </c>
      <c r="C65" s="18" t="s">
        <v>361</v>
      </c>
      <c r="D65" s="18" t="s">
        <v>170</v>
      </c>
      <c r="E65" s="18" t="s">
        <v>43</v>
      </c>
      <c r="F65" s="18" t="s">
        <v>166</v>
      </c>
      <c r="G65" s="18" t="s">
        <v>171</v>
      </c>
      <c r="H65" s="18" t="s">
        <v>159</v>
      </c>
      <c r="I65" s="33">
        <v>4.8319999999999999</v>
      </c>
      <c r="J65" s="27">
        <v>5.27</v>
      </c>
      <c r="K65" s="28">
        <v>11.6</v>
      </c>
      <c r="L65" s="23">
        <f>SUM(((K65)/1.2)-(J65))/((K65)/1.2)</f>
        <v>0.45482758620689656</v>
      </c>
      <c r="M65" s="29">
        <v>4.8319999999999999</v>
      </c>
      <c r="N65" s="25">
        <f>(M65-I65)/I65</f>
        <v>0</v>
      </c>
      <c r="O65" s="30">
        <v>0.09</v>
      </c>
      <c r="P65" s="17">
        <f>M65+(M65*O65)</f>
        <v>5.2668799999999996</v>
      </c>
      <c r="Q65" s="12">
        <f>(P65*1.2)/(1-L65)</f>
        <v>11.593132447817837</v>
      </c>
      <c r="R65" s="13">
        <f>SUM(((Q65)/1.2)-(P65))/((Q65)/1.2)</f>
        <v>0.45482758620689662</v>
      </c>
      <c r="S65" s="18">
        <v>513</v>
      </c>
      <c r="T65" s="18" t="s">
        <v>356</v>
      </c>
      <c r="U65" s="18" t="s">
        <v>370</v>
      </c>
      <c r="V65" s="18" t="s">
        <v>452</v>
      </c>
      <c r="W65" s="18">
        <v>61</v>
      </c>
      <c r="X65" s="18" t="s">
        <v>458</v>
      </c>
      <c r="Y65" s="18">
        <v>3</v>
      </c>
      <c r="Z65" s="18">
        <v>2</v>
      </c>
      <c r="AA65" s="18">
        <v>32</v>
      </c>
      <c r="AB65" s="18">
        <v>0</v>
      </c>
      <c r="AC65" s="18">
        <v>14</v>
      </c>
      <c r="AD65" s="18">
        <v>1</v>
      </c>
      <c r="AE65" s="18" t="s">
        <v>454</v>
      </c>
      <c r="AF65" s="18" t="s">
        <v>46</v>
      </c>
      <c r="AG65" s="18">
        <v>4.8319999999999999</v>
      </c>
      <c r="AH65" s="18" t="s">
        <v>362</v>
      </c>
      <c r="AI65" s="18" t="s">
        <v>363</v>
      </c>
      <c r="AJ65" s="18" t="s">
        <v>365</v>
      </c>
      <c r="AK65" s="18" t="s">
        <v>365</v>
      </c>
      <c r="AL65" s="18" t="s">
        <v>381</v>
      </c>
      <c r="AM65" s="18" t="s">
        <v>367</v>
      </c>
      <c r="AN65" s="18" t="s">
        <v>365</v>
      </c>
    </row>
    <row r="66" spans="1:40" ht="15" x14ac:dyDescent="0.25">
      <c r="A66" s="18" t="s">
        <v>172</v>
      </c>
      <c r="B66" s="18" t="s">
        <v>173</v>
      </c>
      <c r="C66" s="18" t="s">
        <v>361</v>
      </c>
      <c r="D66" s="18" t="s">
        <v>174</v>
      </c>
      <c r="E66" s="18" t="s">
        <v>43</v>
      </c>
      <c r="F66" s="18" t="s">
        <v>157</v>
      </c>
      <c r="G66" s="18" t="s">
        <v>158</v>
      </c>
      <c r="H66" s="18" t="s">
        <v>159</v>
      </c>
      <c r="I66" s="32">
        <v>5.806</v>
      </c>
      <c r="J66" s="21">
        <v>6.62</v>
      </c>
      <c r="K66" s="22">
        <v>13.95</v>
      </c>
      <c r="L66" s="23">
        <f>SUM(((K66)/1.2)-(J66))/((K66)/1.2)</f>
        <v>0.43053763440860215</v>
      </c>
      <c r="M66" s="24">
        <v>5.806</v>
      </c>
      <c r="N66" s="25">
        <f>(M66-I66)/I66</f>
        <v>0</v>
      </c>
      <c r="O66" s="26">
        <v>0.14000000000000001</v>
      </c>
      <c r="P66" s="17">
        <f>M66+(M66*O66)</f>
        <v>6.6188400000000005</v>
      </c>
      <c r="Q66" s="12">
        <f>(P66*1.2)/(1-L66)</f>
        <v>13.947555589123867</v>
      </c>
      <c r="R66" s="13">
        <f>SUM(((Q66)/1.2)-(P66))/((Q66)/1.2)</f>
        <v>0.43053763440860215</v>
      </c>
      <c r="S66" s="18">
        <v>687</v>
      </c>
      <c r="T66" s="18" t="s">
        <v>356</v>
      </c>
      <c r="U66" s="18" t="s">
        <v>370</v>
      </c>
      <c r="V66" s="18" t="s">
        <v>370</v>
      </c>
      <c r="W66" s="18">
        <v>66</v>
      </c>
      <c r="X66" s="18" t="s">
        <v>459</v>
      </c>
      <c r="Y66" s="18">
        <v>5</v>
      </c>
      <c r="Z66" s="18">
        <v>0</v>
      </c>
      <c r="AA66" s="18">
        <v>24</v>
      </c>
      <c r="AB66" s="18">
        <v>0</v>
      </c>
      <c r="AC66" s="18">
        <v>10</v>
      </c>
      <c r="AD66" s="18">
        <v>1</v>
      </c>
      <c r="AE66" s="18" t="s">
        <v>454</v>
      </c>
      <c r="AF66" s="18" t="s">
        <v>46</v>
      </c>
      <c r="AG66" s="18">
        <v>5.806</v>
      </c>
      <c r="AH66" s="18" t="s">
        <v>362</v>
      </c>
      <c r="AI66" s="18" t="s">
        <v>363</v>
      </c>
      <c r="AJ66" s="18" t="s">
        <v>365</v>
      </c>
      <c r="AK66" s="18" t="s">
        <v>365</v>
      </c>
      <c r="AL66" s="18" t="s">
        <v>381</v>
      </c>
      <c r="AM66" s="18" t="s">
        <v>367</v>
      </c>
      <c r="AN66" s="18" t="s">
        <v>365</v>
      </c>
    </row>
    <row r="67" spans="1:40" ht="15" x14ac:dyDescent="0.25">
      <c r="A67" s="18" t="s">
        <v>175</v>
      </c>
      <c r="B67" s="18" t="s">
        <v>176</v>
      </c>
      <c r="C67" s="18" t="s">
        <v>361</v>
      </c>
      <c r="D67" s="18" t="s">
        <v>177</v>
      </c>
      <c r="E67" s="18" t="s">
        <v>43</v>
      </c>
      <c r="F67" s="18" t="s">
        <v>166</v>
      </c>
      <c r="G67" s="18" t="s">
        <v>171</v>
      </c>
      <c r="H67" s="18" t="s">
        <v>159</v>
      </c>
      <c r="I67" s="32">
        <v>6.8620000000000001</v>
      </c>
      <c r="J67" s="21">
        <v>7.48</v>
      </c>
      <c r="K67" s="22">
        <v>16.5</v>
      </c>
      <c r="L67" s="23">
        <f>SUM(((K67)/1.2)-(J67))/((K67)/1.2)</f>
        <v>0.45599999999999996</v>
      </c>
      <c r="M67" s="24">
        <v>6.8620000000000001</v>
      </c>
      <c r="N67" s="25">
        <f>(M67-I67)/I67</f>
        <v>0</v>
      </c>
      <c r="O67" s="30">
        <v>0.09</v>
      </c>
      <c r="P67" s="17">
        <f>M67+(M67*O67)</f>
        <v>7.4795800000000003</v>
      </c>
      <c r="Q67" s="12">
        <f>(P67*1.2)/(1-L67)</f>
        <v>16.499073529411763</v>
      </c>
      <c r="R67" s="13">
        <f>SUM(((Q67)/1.2)-(P67))/((Q67)/1.2)</f>
        <v>0.45599999999999991</v>
      </c>
      <c r="S67" s="18">
        <v>334</v>
      </c>
      <c r="T67" s="18" t="s">
        <v>356</v>
      </c>
      <c r="U67" s="18" t="s">
        <v>370</v>
      </c>
      <c r="V67" s="18" t="s">
        <v>371</v>
      </c>
      <c r="W67" s="18">
        <v>66</v>
      </c>
      <c r="X67" s="18" t="s">
        <v>460</v>
      </c>
      <c r="Y67" s="18">
        <v>3</v>
      </c>
      <c r="Z67" s="18">
        <v>0</v>
      </c>
      <c r="AA67" s="18">
        <v>42</v>
      </c>
      <c r="AB67" s="18">
        <v>0</v>
      </c>
      <c r="AC67" s="18">
        <v>21</v>
      </c>
      <c r="AD67" s="18">
        <v>1</v>
      </c>
      <c r="AE67" s="18" t="s">
        <v>454</v>
      </c>
      <c r="AF67" s="18" t="s">
        <v>46</v>
      </c>
      <c r="AG67" s="18">
        <v>6.8620000000000001</v>
      </c>
      <c r="AH67" s="18" t="s">
        <v>362</v>
      </c>
      <c r="AI67" s="18" t="s">
        <v>363</v>
      </c>
      <c r="AJ67" s="18" t="s">
        <v>365</v>
      </c>
      <c r="AK67" s="18" t="s">
        <v>365</v>
      </c>
      <c r="AL67" s="18" t="s">
        <v>381</v>
      </c>
      <c r="AM67" s="18" t="s">
        <v>367</v>
      </c>
      <c r="AN67" s="18" t="s">
        <v>365</v>
      </c>
    </row>
    <row r="68" spans="1:40" ht="15" x14ac:dyDescent="0.25">
      <c r="A68" s="18" t="s">
        <v>178</v>
      </c>
      <c r="B68" s="18" t="s">
        <v>179</v>
      </c>
      <c r="C68" s="18" t="s">
        <v>361</v>
      </c>
      <c r="D68" s="18" t="s">
        <v>180</v>
      </c>
      <c r="E68" s="18" t="s">
        <v>43</v>
      </c>
      <c r="F68" s="18" t="s">
        <v>157</v>
      </c>
      <c r="G68" s="18" t="s">
        <v>158</v>
      </c>
      <c r="H68" s="18" t="s">
        <v>159</v>
      </c>
      <c r="I68" s="32">
        <v>6.8620000000000001</v>
      </c>
      <c r="J68" s="21">
        <v>7.82</v>
      </c>
      <c r="K68" s="22">
        <v>16.5</v>
      </c>
      <c r="L68" s="23">
        <f>SUM(((K68)/1.2)-(J68))/((K68)/1.2)</f>
        <v>0.43127272727272725</v>
      </c>
      <c r="M68" s="24">
        <v>6.8620000000000001</v>
      </c>
      <c r="N68" s="25">
        <f>(M68-I68)/I68</f>
        <v>0</v>
      </c>
      <c r="O68" s="26">
        <v>0.14000000000000001</v>
      </c>
      <c r="P68" s="17">
        <f>M68+(M68*O68)</f>
        <v>7.8226800000000001</v>
      </c>
      <c r="Q68" s="12">
        <f>(P68*1.2)/(1-L68)</f>
        <v>16.505654731457799</v>
      </c>
      <c r="R68" s="13">
        <f>SUM(((Q68)/1.2)-(P68))/((Q68)/1.2)</f>
        <v>0.43127272727272725</v>
      </c>
      <c r="S68" s="18">
        <v>379</v>
      </c>
      <c r="T68" s="18" t="s">
        <v>356</v>
      </c>
      <c r="U68" s="18" t="s">
        <v>370</v>
      </c>
      <c r="V68" s="18" t="s">
        <v>370</v>
      </c>
      <c r="W68" s="18">
        <v>63</v>
      </c>
      <c r="X68" s="18" t="s">
        <v>461</v>
      </c>
      <c r="Y68" s="18">
        <v>5</v>
      </c>
      <c r="Z68" s="18">
        <v>0</v>
      </c>
      <c r="AA68" s="18">
        <v>26</v>
      </c>
      <c r="AB68" s="18">
        <v>0</v>
      </c>
      <c r="AC68" s="18">
        <v>13</v>
      </c>
      <c r="AD68" s="18">
        <v>1</v>
      </c>
      <c r="AE68" s="18" t="s">
        <v>454</v>
      </c>
      <c r="AF68" s="18" t="s">
        <v>46</v>
      </c>
      <c r="AG68" s="18">
        <v>6.8620000000000001</v>
      </c>
      <c r="AH68" s="18" t="s">
        <v>362</v>
      </c>
      <c r="AI68" s="18" t="s">
        <v>363</v>
      </c>
      <c r="AJ68" s="18" t="s">
        <v>365</v>
      </c>
      <c r="AK68" s="18" t="s">
        <v>365</v>
      </c>
      <c r="AL68" s="18" t="s">
        <v>381</v>
      </c>
      <c r="AM68" s="18" t="s">
        <v>367</v>
      </c>
      <c r="AN68" s="18" t="s">
        <v>365</v>
      </c>
    </row>
    <row r="69" spans="1:40" ht="15" x14ac:dyDescent="0.25">
      <c r="A69" s="18" t="s">
        <v>188</v>
      </c>
      <c r="B69" s="18" t="s">
        <v>189</v>
      </c>
      <c r="C69" s="18" t="s">
        <v>361</v>
      </c>
      <c r="D69" s="18" t="s">
        <v>190</v>
      </c>
      <c r="E69" s="18" t="s">
        <v>43</v>
      </c>
      <c r="F69" s="18" t="s">
        <v>157</v>
      </c>
      <c r="G69" s="18" t="s">
        <v>158</v>
      </c>
      <c r="H69" s="18" t="s">
        <v>159</v>
      </c>
      <c r="I69" s="33">
        <v>4.2169999999999996</v>
      </c>
      <c r="J69" s="27">
        <v>4.8099999999999996</v>
      </c>
      <c r="K69" s="28">
        <v>10.5</v>
      </c>
      <c r="L69" s="23">
        <f>SUM(((K69)/1.2)-(J69))/((K69)/1.2)</f>
        <v>0.45028571428571434</v>
      </c>
      <c r="M69" s="29">
        <v>4.2169999999999996</v>
      </c>
      <c r="N69" s="25">
        <f>(M69-I69)/I69</f>
        <v>0</v>
      </c>
      <c r="O69" s="26">
        <v>0.14000000000000001</v>
      </c>
      <c r="P69" s="17">
        <f>M69+(M69*O69)</f>
        <v>4.8073799999999993</v>
      </c>
      <c r="Q69" s="12">
        <f>(P69*1.2)/(1-L69)</f>
        <v>10.494280665280664</v>
      </c>
      <c r="R69" s="13">
        <f>SUM(((Q69)/1.2)-(P69))/((Q69)/1.2)</f>
        <v>0.45028571428571434</v>
      </c>
      <c r="S69" s="18">
        <v>700</v>
      </c>
      <c r="T69" s="18" t="s">
        <v>356</v>
      </c>
      <c r="U69" s="18" t="s">
        <v>370</v>
      </c>
      <c r="V69" s="18" t="s">
        <v>371</v>
      </c>
      <c r="W69" s="18">
        <v>76</v>
      </c>
      <c r="X69" s="18" t="s">
        <v>464</v>
      </c>
      <c r="Y69" s="18">
        <v>6</v>
      </c>
      <c r="Z69" s="18">
        <v>6</v>
      </c>
      <c r="AA69" s="18">
        <v>44</v>
      </c>
      <c r="AB69" s="18">
        <v>0</v>
      </c>
      <c r="AC69" s="18">
        <v>22</v>
      </c>
      <c r="AD69" s="18">
        <v>1</v>
      </c>
      <c r="AE69" s="18" t="s">
        <v>454</v>
      </c>
      <c r="AF69" s="18" t="s">
        <v>46</v>
      </c>
      <c r="AG69" s="18">
        <v>4.2169999999999996</v>
      </c>
      <c r="AH69" s="18" t="s">
        <v>362</v>
      </c>
      <c r="AI69" s="18" t="s">
        <v>363</v>
      </c>
      <c r="AJ69" s="18" t="s">
        <v>365</v>
      </c>
      <c r="AK69" s="18" t="s">
        <v>365</v>
      </c>
      <c r="AL69" s="18" t="s">
        <v>381</v>
      </c>
      <c r="AM69" s="18" t="s">
        <v>367</v>
      </c>
      <c r="AN69" s="18" t="s">
        <v>365</v>
      </c>
    </row>
    <row r="70" spans="1:40" ht="15" x14ac:dyDescent="0.25">
      <c r="A70" s="18" t="s">
        <v>191</v>
      </c>
      <c r="B70" s="18" t="s">
        <v>192</v>
      </c>
      <c r="C70" s="18" t="s">
        <v>361</v>
      </c>
      <c r="D70" s="18" t="s">
        <v>193</v>
      </c>
      <c r="E70" s="18" t="s">
        <v>43</v>
      </c>
      <c r="F70" s="18" t="s">
        <v>157</v>
      </c>
      <c r="G70" s="18" t="s">
        <v>158</v>
      </c>
      <c r="H70" s="18" t="s">
        <v>159</v>
      </c>
      <c r="I70" s="32">
        <v>4.8319999999999999</v>
      </c>
      <c r="J70" s="21">
        <v>5.51</v>
      </c>
      <c r="K70" s="22">
        <v>11.6</v>
      </c>
      <c r="L70" s="23">
        <f>SUM(((K70)/1.2)-(J70))/((K70)/1.2)</f>
        <v>0.43</v>
      </c>
      <c r="M70" s="24">
        <v>4.8319999999999999</v>
      </c>
      <c r="N70" s="25">
        <f>(M70-I70)/I70</f>
        <v>0</v>
      </c>
      <c r="O70" s="26">
        <v>0.14000000000000001</v>
      </c>
      <c r="P70" s="17">
        <f>M70+(M70*O70)</f>
        <v>5.5084799999999996</v>
      </c>
      <c r="Q70" s="12">
        <f>(P70*1.2)/(1-L70)</f>
        <v>11.596799999999996</v>
      </c>
      <c r="R70" s="13">
        <f>SUM(((Q70)/1.2)-(P70))/((Q70)/1.2)</f>
        <v>0.42999999999999994</v>
      </c>
      <c r="S70" s="18">
        <v>598</v>
      </c>
      <c r="T70" s="18" t="s">
        <v>356</v>
      </c>
      <c r="U70" s="18" t="s">
        <v>370</v>
      </c>
      <c r="V70" s="18" t="s">
        <v>357</v>
      </c>
      <c r="W70" s="18">
        <v>102</v>
      </c>
      <c r="X70" s="18" t="s">
        <v>465</v>
      </c>
      <c r="Y70" s="18">
        <v>16</v>
      </c>
      <c r="Z70" s="18">
        <v>0</v>
      </c>
      <c r="AA70" s="18">
        <v>98</v>
      </c>
      <c r="AB70" s="18">
        <v>0</v>
      </c>
      <c r="AC70" s="18">
        <v>50</v>
      </c>
      <c r="AD70" s="18">
        <v>1</v>
      </c>
      <c r="AE70" s="18" t="s">
        <v>454</v>
      </c>
      <c r="AF70" s="18" t="s">
        <v>46</v>
      </c>
      <c r="AG70" s="18">
        <v>4.8319999999999999</v>
      </c>
      <c r="AH70" s="18" t="s">
        <v>362</v>
      </c>
      <c r="AI70" s="18" t="s">
        <v>363</v>
      </c>
      <c r="AJ70" s="18" t="s">
        <v>365</v>
      </c>
      <c r="AK70" s="18" t="s">
        <v>365</v>
      </c>
      <c r="AL70" s="18" t="s">
        <v>381</v>
      </c>
      <c r="AM70" s="18" t="s">
        <v>367</v>
      </c>
      <c r="AN70" s="18" t="s">
        <v>365</v>
      </c>
    </row>
    <row r="71" spans="1:40" ht="15" x14ac:dyDescent="0.25">
      <c r="A71" s="18" t="s">
        <v>194</v>
      </c>
      <c r="B71" s="18" t="s">
        <v>195</v>
      </c>
      <c r="C71" s="18" t="s">
        <v>361</v>
      </c>
      <c r="D71" s="18" t="s">
        <v>196</v>
      </c>
      <c r="E71" s="18" t="s">
        <v>43</v>
      </c>
      <c r="F71" s="18" t="s">
        <v>166</v>
      </c>
      <c r="G71" s="18" t="s">
        <v>171</v>
      </c>
      <c r="H71" s="18" t="s">
        <v>159</v>
      </c>
      <c r="I71" s="33">
        <v>6.766</v>
      </c>
      <c r="J71" s="27">
        <v>7.37</v>
      </c>
      <c r="K71" s="28">
        <v>16.3</v>
      </c>
      <c r="L71" s="23">
        <f>SUM(((K71)/1.2)-(J71))/((K71)/1.2)</f>
        <v>0.45742331288343557</v>
      </c>
      <c r="M71" s="29">
        <v>6.766</v>
      </c>
      <c r="N71" s="25">
        <f>(M71-I71)/I71</f>
        <v>0</v>
      </c>
      <c r="O71" s="30">
        <v>0.09</v>
      </c>
      <c r="P71" s="17">
        <f>M71+(M71*O71)</f>
        <v>7.3749399999999996</v>
      </c>
      <c r="Q71" s="12">
        <f>(P71*1.2)/(1-L71)</f>
        <v>16.310925644504746</v>
      </c>
      <c r="R71" s="13">
        <f>SUM(((Q71)/1.2)-(P71))/((Q71)/1.2)</f>
        <v>0.45742331288343557</v>
      </c>
      <c r="S71" s="18">
        <v>705</v>
      </c>
      <c r="T71" s="18" t="s">
        <v>356</v>
      </c>
      <c r="U71" s="18" t="s">
        <v>370</v>
      </c>
      <c r="V71" s="18" t="s">
        <v>393</v>
      </c>
      <c r="W71" s="18">
        <v>50</v>
      </c>
      <c r="X71" s="18" t="s">
        <v>466</v>
      </c>
      <c r="Y71" s="18">
        <v>6</v>
      </c>
      <c r="Z71" s="18">
        <v>0</v>
      </c>
      <c r="AA71" s="18">
        <v>4</v>
      </c>
      <c r="AB71" s="18">
        <v>0</v>
      </c>
      <c r="AC71" s="18">
        <v>2</v>
      </c>
      <c r="AD71" s="18">
        <v>1</v>
      </c>
      <c r="AE71" s="18" t="s">
        <v>454</v>
      </c>
      <c r="AF71" s="18" t="s">
        <v>46</v>
      </c>
      <c r="AG71" s="18">
        <v>6.766</v>
      </c>
      <c r="AH71" s="18" t="s">
        <v>362</v>
      </c>
      <c r="AI71" s="18" t="s">
        <v>363</v>
      </c>
      <c r="AJ71" s="18" t="s">
        <v>365</v>
      </c>
      <c r="AK71" s="18" t="s">
        <v>365</v>
      </c>
      <c r="AL71" s="18" t="s">
        <v>381</v>
      </c>
      <c r="AM71" s="18" t="s">
        <v>367</v>
      </c>
      <c r="AN71" s="18" t="s">
        <v>365</v>
      </c>
    </row>
    <row r="72" spans="1:40" ht="15" x14ac:dyDescent="0.25">
      <c r="A72" s="18" t="s">
        <v>197</v>
      </c>
      <c r="B72" s="18" t="s">
        <v>198</v>
      </c>
      <c r="C72" s="18" t="s">
        <v>361</v>
      </c>
      <c r="D72" s="18" t="s">
        <v>199</v>
      </c>
      <c r="E72" s="18" t="s">
        <v>43</v>
      </c>
      <c r="F72" s="18" t="s">
        <v>157</v>
      </c>
      <c r="G72" s="18" t="s">
        <v>158</v>
      </c>
      <c r="H72" s="18" t="s">
        <v>159</v>
      </c>
      <c r="I72" s="32">
        <v>6.0970000000000004</v>
      </c>
      <c r="J72" s="21">
        <v>6.95</v>
      </c>
      <c r="K72" s="22">
        <v>14.65</v>
      </c>
      <c r="L72" s="23">
        <f>SUM(((K72)/1.2)-(J72))/((K72)/1.2)</f>
        <v>0.43071672354948809</v>
      </c>
      <c r="M72" s="24">
        <v>6.0970000000000004</v>
      </c>
      <c r="N72" s="25">
        <f>(M72-I72)/I72</f>
        <v>0</v>
      </c>
      <c r="O72" s="26">
        <v>0.14000000000000001</v>
      </c>
      <c r="P72" s="17">
        <f>M72+(M72*O72)</f>
        <v>6.9505800000000004</v>
      </c>
      <c r="Q72" s="12">
        <f>(P72*1.2)/(1-L72)</f>
        <v>14.651222589928057</v>
      </c>
      <c r="R72" s="13">
        <f>SUM(((Q72)/1.2)-(P72))/((Q72)/1.2)</f>
        <v>0.43071672354948803</v>
      </c>
      <c r="S72" s="18">
        <v>768</v>
      </c>
      <c r="T72" s="18" t="s">
        <v>356</v>
      </c>
      <c r="U72" s="18" t="s">
        <v>370</v>
      </c>
      <c r="V72" s="18" t="s">
        <v>393</v>
      </c>
      <c r="W72" s="18">
        <v>54</v>
      </c>
      <c r="X72" s="18" t="s">
        <v>467</v>
      </c>
      <c r="Y72" s="18">
        <v>1</v>
      </c>
      <c r="Z72" s="18">
        <v>0</v>
      </c>
      <c r="AA72" s="18">
        <v>6</v>
      </c>
      <c r="AB72" s="18">
        <v>0</v>
      </c>
      <c r="AC72" s="18">
        <v>3</v>
      </c>
      <c r="AD72" s="18">
        <v>1</v>
      </c>
      <c r="AE72" s="18" t="s">
        <v>454</v>
      </c>
      <c r="AF72" s="18" t="s">
        <v>46</v>
      </c>
      <c r="AG72" s="18">
        <v>6.0970000000000004</v>
      </c>
      <c r="AH72" s="18" t="s">
        <v>362</v>
      </c>
      <c r="AI72" s="18" t="s">
        <v>363</v>
      </c>
      <c r="AJ72" s="18" t="s">
        <v>365</v>
      </c>
      <c r="AK72" s="18" t="s">
        <v>365</v>
      </c>
      <c r="AL72" s="18" t="s">
        <v>381</v>
      </c>
      <c r="AM72" s="18" t="s">
        <v>367</v>
      </c>
      <c r="AN72" s="18" t="s">
        <v>365</v>
      </c>
    </row>
    <row r="73" spans="1:40" ht="15" x14ac:dyDescent="0.25">
      <c r="A73" s="18" t="s">
        <v>200</v>
      </c>
      <c r="B73" s="18" t="s">
        <v>201</v>
      </c>
      <c r="C73" s="18" t="s">
        <v>361</v>
      </c>
      <c r="D73" s="18" t="s">
        <v>202</v>
      </c>
      <c r="E73" s="18" t="s">
        <v>43</v>
      </c>
      <c r="F73" s="18" t="s">
        <v>166</v>
      </c>
      <c r="G73" s="18" t="s">
        <v>171</v>
      </c>
      <c r="H73" s="18" t="s">
        <v>159</v>
      </c>
      <c r="I73" s="32">
        <v>5.8550000000000004</v>
      </c>
      <c r="J73" s="21">
        <v>6.38</v>
      </c>
      <c r="K73" s="22">
        <v>13.95</v>
      </c>
      <c r="L73" s="23">
        <f>SUM(((K73)/1.2)-(J73))/((K73)/1.2)</f>
        <v>0.45118279569892472</v>
      </c>
      <c r="M73" s="24">
        <v>5.8550000000000004</v>
      </c>
      <c r="N73" s="25">
        <f>(M73-I73)/I73</f>
        <v>0</v>
      </c>
      <c r="O73" s="30">
        <v>0.09</v>
      </c>
      <c r="P73" s="17">
        <f>M73+(M73*O73)</f>
        <v>6.3819500000000007</v>
      </c>
      <c r="Q73" s="12">
        <f>(P73*1.2)/(1-L73)</f>
        <v>13.954263714733544</v>
      </c>
      <c r="R73" s="13">
        <f>SUM(((Q73)/1.2)-(P73))/((Q73)/1.2)</f>
        <v>0.45118279569892478</v>
      </c>
      <c r="S73" s="18">
        <v>696</v>
      </c>
      <c r="T73" s="18" t="s">
        <v>356</v>
      </c>
      <c r="U73" s="18" t="s">
        <v>370</v>
      </c>
      <c r="V73" s="18" t="s">
        <v>452</v>
      </c>
      <c r="W73" s="18">
        <v>60</v>
      </c>
      <c r="X73" s="18" t="s">
        <v>468</v>
      </c>
      <c r="Y73" s="18">
        <v>3</v>
      </c>
      <c r="Z73" s="18">
        <v>1</v>
      </c>
      <c r="AA73" s="18">
        <v>26</v>
      </c>
      <c r="AB73" s="18">
        <v>0</v>
      </c>
      <c r="AC73" s="18">
        <v>12</v>
      </c>
      <c r="AD73" s="18">
        <v>1</v>
      </c>
      <c r="AE73" s="18" t="s">
        <v>454</v>
      </c>
      <c r="AF73" s="18" t="s">
        <v>46</v>
      </c>
      <c r="AG73" s="18">
        <v>5.8550000000000004</v>
      </c>
      <c r="AH73" s="18" t="s">
        <v>362</v>
      </c>
      <c r="AI73" s="18" t="s">
        <v>363</v>
      </c>
      <c r="AJ73" s="18" t="s">
        <v>365</v>
      </c>
      <c r="AK73" s="18" t="s">
        <v>365</v>
      </c>
      <c r="AL73" s="18" t="s">
        <v>381</v>
      </c>
      <c r="AM73" s="18" t="s">
        <v>367</v>
      </c>
      <c r="AN73" s="18" t="s">
        <v>365</v>
      </c>
    </row>
    <row r="74" spans="1:40" ht="15" x14ac:dyDescent="0.25">
      <c r="A74" s="18" t="s">
        <v>203</v>
      </c>
      <c r="B74" s="18" t="s">
        <v>204</v>
      </c>
      <c r="C74" s="18" t="s">
        <v>361</v>
      </c>
      <c r="D74" s="18" t="s">
        <v>205</v>
      </c>
      <c r="E74" s="18" t="s">
        <v>43</v>
      </c>
      <c r="F74" s="18" t="s">
        <v>166</v>
      </c>
      <c r="G74" s="18" t="s">
        <v>167</v>
      </c>
      <c r="H74" s="18" t="s">
        <v>159</v>
      </c>
      <c r="I74" s="33">
        <v>7.0960000000000001</v>
      </c>
      <c r="J74" s="27">
        <v>7.73</v>
      </c>
      <c r="K74" s="28">
        <v>16.95</v>
      </c>
      <c r="L74" s="23">
        <f>SUM(((K74)/1.2)-(J74))/((K74)/1.2)</f>
        <v>0.4527433628318584</v>
      </c>
      <c r="M74" s="29">
        <v>7.0960000000000001</v>
      </c>
      <c r="N74" s="25">
        <f>(M74-I74)/I74</f>
        <v>0</v>
      </c>
      <c r="O74" s="30">
        <v>0.09</v>
      </c>
      <c r="P74" s="17">
        <f>M74+(M74*O74)</f>
        <v>7.7346399999999997</v>
      </c>
      <c r="Q74" s="12">
        <f>(P74*1.2)/(1-L74)</f>
        <v>16.960174385510996</v>
      </c>
      <c r="R74" s="13">
        <f>SUM(((Q74)/1.2)-(P74))/((Q74)/1.2)</f>
        <v>0.45274336283185845</v>
      </c>
      <c r="S74" s="18">
        <v>512</v>
      </c>
      <c r="T74" s="18" t="s">
        <v>356</v>
      </c>
      <c r="U74" s="18" t="s">
        <v>370</v>
      </c>
      <c r="V74" s="18" t="s">
        <v>371</v>
      </c>
      <c r="W74" s="18">
        <v>74</v>
      </c>
      <c r="X74" s="18" t="s">
        <v>469</v>
      </c>
      <c r="Y74" s="18">
        <v>8</v>
      </c>
      <c r="Z74" s="18">
        <v>0</v>
      </c>
      <c r="AA74" s="18">
        <v>64</v>
      </c>
      <c r="AB74" s="18">
        <v>0</v>
      </c>
      <c r="AC74" s="18">
        <v>32</v>
      </c>
      <c r="AD74" s="18">
        <v>1</v>
      </c>
      <c r="AE74" s="18" t="s">
        <v>454</v>
      </c>
      <c r="AF74" s="18" t="s">
        <v>46</v>
      </c>
      <c r="AG74" s="18">
        <v>7.0960000000000001</v>
      </c>
      <c r="AH74" s="18" t="s">
        <v>362</v>
      </c>
      <c r="AI74" s="18" t="s">
        <v>363</v>
      </c>
      <c r="AJ74" s="18" t="s">
        <v>365</v>
      </c>
      <c r="AK74" s="18" t="s">
        <v>365</v>
      </c>
      <c r="AL74" s="18" t="s">
        <v>381</v>
      </c>
      <c r="AM74" s="18" t="s">
        <v>367</v>
      </c>
      <c r="AN74" s="18" t="s">
        <v>365</v>
      </c>
    </row>
    <row r="75" spans="1:40" ht="15" x14ac:dyDescent="0.25">
      <c r="A75" s="18" t="s">
        <v>206</v>
      </c>
      <c r="B75" s="18" t="s">
        <v>207</v>
      </c>
      <c r="C75" s="18" t="s">
        <v>361</v>
      </c>
      <c r="D75" s="18" t="s">
        <v>208</v>
      </c>
      <c r="E75" s="18" t="s">
        <v>43</v>
      </c>
      <c r="F75" s="18" t="s">
        <v>157</v>
      </c>
      <c r="G75" s="18" t="s">
        <v>187</v>
      </c>
      <c r="H75" s="18" t="s">
        <v>159</v>
      </c>
      <c r="I75" s="32">
        <v>7.3019999999999996</v>
      </c>
      <c r="J75" s="21">
        <v>7.96</v>
      </c>
      <c r="K75" s="22">
        <v>17.55</v>
      </c>
      <c r="L75" s="23">
        <f>SUM(((K75)/1.2)-(J75))/((K75)/1.2)</f>
        <v>0.45572649572649582</v>
      </c>
      <c r="M75" s="24">
        <v>7.3019999999999996</v>
      </c>
      <c r="N75" s="25">
        <f>(M75-I75)/I75</f>
        <v>0</v>
      </c>
      <c r="O75" s="26">
        <v>0.09</v>
      </c>
      <c r="P75" s="17">
        <f>M75+(M75*O75)</f>
        <v>7.9591799999999999</v>
      </c>
      <c r="Q75" s="12">
        <f>(P75*1.2)/(1-L75)</f>
        <v>17.548192085427136</v>
      </c>
      <c r="R75" s="13">
        <f>SUM(((Q75)/1.2)-(P75))/((Q75)/1.2)</f>
        <v>0.45572649572649576</v>
      </c>
      <c r="S75" s="18">
        <v>511</v>
      </c>
      <c r="T75" s="18" t="s">
        <v>356</v>
      </c>
      <c r="U75" s="18" t="s">
        <v>370</v>
      </c>
      <c r="V75" s="18" t="s">
        <v>371</v>
      </c>
      <c r="W75" s="18">
        <v>71</v>
      </c>
      <c r="X75" s="18" t="s">
        <v>470</v>
      </c>
      <c r="Y75" s="18">
        <v>8</v>
      </c>
      <c r="Z75" s="18">
        <v>4</v>
      </c>
      <c r="AA75" s="18">
        <v>50</v>
      </c>
      <c r="AB75" s="18">
        <v>0</v>
      </c>
      <c r="AC75" s="18">
        <v>24</v>
      </c>
      <c r="AD75" s="18">
        <v>1</v>
      </c>
      <c r="AE75" s="18" t="s">
        <v>454</v>
      </c>
      <c r="AF75" s="18" t="s">
        <v>46</v>
      </c>
      <c r="AG75" s="18">
        <v>7.3019999999999996</v>
      </c>
      <c r="AH75" s="18" t="s">
        <v>362</v>
      </c>
      <c r="AI75" s="18" t="s">
        <v>363</v>
      </c>
      <c r="AJ75" s="18" t="s">
        <v>365</v>
      </c>
      <c r="AK75" s="18" t="s">
        <v>365</v>
      </c>
      <c r="AL75" s="18" t="s">
        <v>381</v>
      </c>
      <c r="AM75" s="18" t="s">
        <v>367</v>
      </c>
      <c r="AN75" s="18" t="s">
        <v>365</v>
      </c>
    </row>
    <row r="76" spans="1:40" ht="15" x14ac:dyDescent="0.25">
      <c r="A76" s="18" t="s">
        <v>209</v>
      </c>
      <c r="B76" s="18" t="s">
        <v>210</v>
      </c>
      <c r="C76" s="18" t="s">
        <v>361</v>
      </c>
      <c r="D76" s="18" t="s">
        <v>211</v>
      </c>
      <c r="E76" s="18" t="s">
        <v>43</v>
      </c>
      <c r="F76" s="18" t="s">
        <v>157</v>
      </c>
      <c r="G76" s="18" t="s">
        <v>187</v>
      </c>
      <c r="H76" s="18" t="s">
        <v>159</v>
      </c>
      <c r="I76" s="32">
        <v>7.7949999999999999</v>
      </c>
      <c r="J76" s="21">
        <v>8.5</v>
      </c>
      <c r="K76" s="22">
        <v>18.55</v>
      </c>
      <c r="L76" s="23">
        <f>SUM(((K76)/1.2)-(J76))/((K76)/1.2)</f>
        <v>0.45013477088948789</v>
      </c>
      <c r="M76" s="24">
        <v>7.7949999999999999</v>
      </c>
      <c r="N76" s="25">
        <f>(M76-I76)/I76</f>
        <v>0</v>
      </c>
      <c r="O76" s="26">
        <v>0.09</v>
      </c>
      <c r="P76" s="17">
        <f>M76+(M76*O76)</f>
        <v>8.4965499999999992</v>
      </c>
      <c r="Q76" s="12">
        <f>(P76*1.2)/(1-L76)</f>
        <v>18.542470882352937</v>
      </c>
      <c r="R76" s="13">
        <f>SUM(((Q76)/1.2)-(P76))/((Q76)/1.2)</f>
        <v>0.45013477088948783</v>
      </c>
      <c r="S76" s="18">
        <v>563</v>
      </c>
      <c r="T76" s="18" t="s">
        <v>356</v>
      </c>
      <c r="U76" s="18" t="s">
        <v>370</v>
      </c>
      <c r="V76" s="18" t="s">
        <v>393</v>
      </c>
      <c r="W76" s="18">
        <v>52</v>
      </c>
      <c r="X76" s="18" t="s">
        <v>471</v>
      </c>
      <c r="Y76" s="18">
        <v>1</v>
      </c>
      <c r="Z76" s="18">
        <v>0</v>
      </c>
      <c r="AA76" s="18">
        <v>6</v>
      </c>
      <c r="AB76" s="18">
        <v>0</v>
      </c>
      <c r="AC76" s="18">
        <v>3</v>
      </c>
      <c r="AD76" s="18">
        <v>1</v>
      </c>
      <c r="AE76" s="18" t="s">
        <v>454</v>
      </c>
      <c r="AF76" s="18" t="s">
        <v>46</v>
      </c>
      <c r="AG76" s="18">
        <v>7.7949999999999999</v>
      </c>
      <c r="AH76" s="18" t="s">
        <v>362</v>
      </c>
      <c r="AI76" s="18" t="s">
        <v>363</v>
      </c>
      <c r="AJ76" s="18" t="s">
        <v>365</v>
      </c>
      <c r="AK76" s="18" t="s">
        <v>365</v>
      </c>
      <c r="AL76" s="18" t="s">
        <v>381</v>
      </c>
      <c r="AM76" s="18" t="s">
        <v>367</v>
      </c>
      <c r="AN76" s="18" t="s">
        <v>365</v>
      </c>
    </row>
    <row r="77" spans="1:40" ht="15" x14ac:dyDescent="0.25">
      <c r="A77" s="18" t="s">
        <v>212</v>
      </c>
      <c r="B77" s="18" t="s">
        <v>213</v>
      </c>
      <c r="C77" s="18" t="s">
        <v>361</v>
      </c>
      <c r="D77" s="18" t="s">
        <v>214</v>
      </c>
      <c r="E77" s="18" t="s">
        <v>43</v>
      </c>
      <c r="F77" s="18" t="s">
        <v>157</v>
      </c>
      <c r="G77" s="18" t="s">
        <v>187</v>
      </c>
      <c r="H77" s="18" t="s">
        <v>159</v>
      </c>
      <c r="I77" s="32">
        <v>7.5469999999999997</v>
      </c>
      <c r="J77" s="21">
        <v>8.23</v>
      </c>
      <c r="K77" s="22">
        <v>17.95</v>
      </c>
      <c r="L77" s="23">
        <f>SUM(((K77)/1.2)-(J77))/((K77)/1.2)</f>
        <v>0.4498050139275766</v>
      </c>
      <c r="M77" s="24">
        <v>7.5469999999999997</v>
      </c>
      <c r="N77" s="25">
        <f>(M77-I77)/I77</f>
        <v>0</v>
      </c>
      <c r="O77" s="26">
        <v>0.09</v>
      </c>
      <c r="P77" s="17">
        <f>M77+(M77*O77)</f>
        <v>8.2262299999999993</v>
      </c>
      <c r="Q77" s="12">
        <f>(P77*1.2)/(1-L77)</f>
        <v>17.94177746051033</v>
      </c>
      <c r="R77" s="13">
        <f>SUM(((Q77)/1.2)-(P77))/((Q77)/1.2)</f>
        <v>0.44980501392757671</v>
      </c>
      <c r="S77" s="18">
        <v>563</v>
      </c>
      <c r="T77" s="18" t="s">
        <v>356</v>
      </c>
      <c r="U77" s="18" t="s">
        <v>370</v>
      </c>
      <c r="V77" s="18" t="s">
        <v>452</v>
      </c>
      <c r="W77" s="18">
        <v>58</v>
      </c>
      <c r="X77" s="18" t="s">
        <v>472</v>
      </c>
      <c r="Y77" s="18">
        <v>3</v>
      </c>
      <c r="Z77" s="18">
        <v>0</v>
      </c>
      <c r="AA77" s="18">
        <v>12</v>
      </c>
      <c r="AB77" s="18">
        <v>0</v>
      </c>
      <c r="AC77" s="18">
        <v>5</v>
      </c>
      <c r="AD77" s="18">
        <v>1</v>
      </c>
      <c r="AE77" s="18" t="s">
        <v>454</v>
      </c>
      <c r="AF77" s="18" t="s">
        <v>46</v>
      </c>
      <c r="AG77" s="18">
        <v>7.5469999999999997</v>
      </c>
      <c r="AH77" s="18" t="s">
        <v>362</v>
      </c>
      <c r="AI77" s="18" t="s">
        <v>363</v>
      </c>
      <c r="AJ77" s="18" t="s">
        <v>365</v>
      </c>
      <c r="AK77" s="18" t="s">
        <v>365</v>
      </c>
      <c r="AL77" s="18" t="s">
        <v>381</v>
      </c>
      <c r="AM77" s="18" t="s">
        <v>367</v>
      </c>
      <c r="AN77" s="18" t="s">
        <v>365</v>
      </c>
    </row>
    <row r="78" spans="1:40" ht="15" x14ac:dyDescent="0.25">
      <c r="A78" s="18" t="s">
        <v>215</v>
      </c>
      <c r="B78" s="18" t="s">
        <v>216</v>
      </c>
      <c r="C78" s="18" t="s">
        <v>361</v>
      </c>
      <c r="D78" s="18" t="s">
        <v>217</v>
      </c>
      <c r="E78" s="18" t="s">
        <v>43</v>
      </c>
      <c r="F78" s="18" t="s">
        <v>157</v>
      </c>
      <c r="G78" s="18" t="s">
        <v>187</v>
      </c>
      <c r="H78" s="18" t="s">
        <v>159</v>
      </c>
      <c r="I78" s="33">
        <v>4.8319999999999999</v>
      </c>
      <c r="J78" s="27">
        <v>5.27</v>
      </c>
      <c r="K78" s="28">
        <v>11.95</v>
      </c>
      <c r="L78" s="23">
        <f>SUM(((K78)/1.2)-(J78))/((K78)/1.2)</f>
        <v>0.47079497907949797</v>
      </c>
      <c r="M78" s="29">
        <v>4.8319999999999999</v>
      </c>
      <c r="N78" s="25">
        <f>(M78-I78)/I78</f>
        <v>0</v>
      </c>
      <c r="O78" s="26">
        <v>0.09</v>
      </c>
      <c r="P78" s="17">
        <f>M78+(M78*O78)</f>
        <v>5.2668799999999996</v>
      </c>
      <c r="Q78" s="12">
        <f>(P78*1.2)/(1-L78)</f>
        <v>11.942925237191652</v>
      </c>
      <c r="R78" s="13">
        <f>SUM(((Q78)/1.2)-(P78))/((Q78)/1.2)</f>
        <v>0.47079497907949808</v>
      </c>
      <c r="S78" s="18">
        <v>465</v>
      </c>
      <c r="T78" s="18" t="s">
        <v>356</v>
      </c>
      <c r="U78" s="18" t="s">
        <v>370</v>
      </c>
      <c r="V78" s="18" t="s">
        <v>452</v>
      </c>
      <c r="W78" s="18">
        <v>60</v>
      </c>
      <c r="X78" s="18" t="s">
        <v>473</v>
      </c>
      <c r="Y78" s="18">
        <v>7</v>
      </c>
      <c r="Z78" s="18">
        <v>0</v>
      </c>
      <c r="AA78" s="18">
        <v>18</v>
      </c>
      <c r="AB78" s="18">
        <v>0</v>
      </c>
      <c r="AC78" s="18">
        <v>8</v>
      </c>
      <c r="AD78" s="18">
        <v>1</v>
      </c>
      <c r="AE78" s="18" t="s">
        <v>454</v>
      </c>
      <c r="AF78" s="18" t="s">
        <v>46</v>
      </c>
      <c r="AG78" s="18">
        <v>4.8319999999999999</v>
      </c>
      <c r="AH78" s="18" t="s">
        <v>362</v>
      </c>
      <c r="AI78" s="18" t="s">
        <v>363</v>
      </c>
      <c r="AJ78" s="18" t="s">
        <v>365</v>
      </c>
      <c r="AK78" s="18" t="s">
        <v>365</v>
      </c>
      <c r="AL78" s="18" t="s">
        <v>381</v>
      </c>
      <c r="AM78" s="18" t="s">
        <v>367</v>
      </c>
      <c r="AN78" s="18" t="s">
        <v>365</v>
      </c>
    </row>
    <row r="79" spans="1:40" ht="15" x14ac:dyDescent="0.25">
      <c r="A79" s="18" t="s">
        <v>218</v>
      </c>
      <c r="B79" s="18" t="s">
        <v>219</v>
      </c>
      <c r="C79" s="18" t="s">
        <v>361</v>
      </c>
      <c r="D79" s="18" t="s">
        <v>220</v>
      </c>
      <c r="E79" s="18" t="s">
        <v>43</v>
      </c>
      <c r="F79" s="18" t="s">
        <v>157</v>
      </c>
      <c r="G79" s="18" t="s">
        <v>158</v>
      </c>
      <c r="H79" s="18" t="s">
        <v>159</v>
      </c>
      <c r="I79" s="33">
        <v>5.4470000000000001</v>
      </c>
      <c r="J79" s="27">
        <v>6.21</v>
      </c>
      <c r="K79" s="28">
        <v>13.95</v>
      </c>
      <c r="L79" s="23">
        <f>SUM(((K79)/1.2)-(J79))/((K79)/1.2)</f>
        <v>0.46580645161290324</v>
      </c>
      <c r="M79" s="29">
        <v>5.4470000000000001</v>
      </c>
      <c r="N79" s="25">
        <f>(M79-I79)/I79</f>
        <v>0</v>
      </c>
      <c r="O79" s="26">
        <v>0.14000000000000001</v>
      </c>
      <c r="P79" s="17">
        <f>M79+(M79*O79)</f>
        <v>6.2095799999999999</v>
      </c>
      <c r="Q79" s="12">
        <f>(P79*1.2)/(1-L79)</f>
        <v>13.949056521739131</v>
      </c>
      <c r="R79" s="13">
        <f>SUM(((Q79)/1.2)-(P79))/((Q79)/1.2)</f>
        <v>0.46580645161290329</v>
      </c>
      <c r="S79" s="18">
        <v>584</v>
      </c>
      <c r="T79" s="18" t="s">
        <v>356</v>
      </c>
      <c r="U79" s="18" t="s">
        <v>370</v>
      </c>
      <c r="V79" s="18" t="s">
        <v>371</v>
      </c>
      <c r="W79" s="18">
        <v>79</v>
      </c>
      <c r="X79" s="18" t="s">
        <v>474</v>
      </c>
      <c r="Y79" s="18">
        <v>14</v>
      </c>
      <c r="Z79" s="18">
        <v>0</v>
      </c>
      <c r="AA79" s="18">
        <v>70</v>
      </c>
      <c r="AB79" s="18">
        <v>0</v>
      </c>
      <c r="AC79" s="18">
        <v>35</v>
      </c>
      <c r="AD79" s="18">
        <v>1</v>
      </c>
      <c r="AE79" s="18" t="s">
        <v>454</v>
      </c>
      <c r="AF79" s="18" t="s">
        <v>46</v>
      </c>
      <c r="AG79" s="18">
        <v>5.4470000000000001</v>
      </c>
      <c r="AH79" s="18" t="s">
        <v>362</v>
      </c>
      <c r="AI79" s="18" t="s">
        <v>363</v>
      </c>
      <c r="AJ79" s="18" t="s">
        <v>365</v>
      </c>
      <c r="AK79" s="18" t="s">
        <v>365</v>
      </c>
      <c r="AL79" s="18" t="s">
        <v>381</v>
      </c>
      <c r="AM79" s="18" t="s">
        <v>367</v>
      </c>
      <c r="AN79" s="18" t="s">
        <v>365</v>
      </c>
    </row>
    <row r="80" spans="1:40" ht="15" x14ac:dyDescent="0.25">
      <c r="A80" s="18" t="s">
        <v>221</v>
      </c>
      <c r="B80" s="18" t="s">
        <v>222</v>
      </c>
      <c r="C80" s="18" t="s">
        <v>361</v>
      </c>
      <c r="D80" s="18" t="s">
        <v>223</v>
      </c>
      <c r="E80" s="18" t="s">
        <v>43</v>
      </c>
      <c r="F80" s="18" t="s">
        <v>157</v>
      </c>
      <c r="G80" s="18" t="s">
        <v>158</v>
      </c>
      <c r="H80" s="18" t="s">
        <v>159</v>
      </c>
      <c r="I80" s="33">
        <v>3.8079999999999998</v>
      </c>
      <c r="J80" s="27">
        <v>4.34</v>
      </c>
      <c r="K80" s="28">
        <v>9.9499999999999993</v>
      </c>
      <c r="L80" s="23">
        <f>SUM(((K80)/1.2)-(J80))/((K80)/1.2)</f>
        <v>0.47658291457286428</v>
      </c>
      <c r="M80" s="29">
        <v>3.8079999999999998</v>
      </c>
      <c r="N80" s="25">
        <f>(M80-I80)/I80</f>
        <v>0</v>
      </c>
      <c r="O80" s="26">
        <v>0.14000000000000001</v>
      </c>
      <c r="P80" s="17">
        <f>M80+(M80*O80)</f>
        <v>4.3411200000000001</v>
      </c>
      <c r="Q80" s="12">
        <f>(P80*1.2)/(1-L80)</f>
        <v>9.9525677419354821</v>
      </c>
      <c r="R80" s="13">
        <f>SUM(((Q80)/1.2)-(P80))/((Q80)/1.2)</f>
        <v>0.47658291457286422</v>
      </c>
      <c r="S80" s="18">
        <v>573</v>
      </c>
      <c r="T80" s="18" t="s">
        <v>356</v>
      </c>
      <c r="U80" s="18" t="s">
        <v>370</v>
      </c>
      <c r="V80" s="18" t="s">
        <v>452</v>
      </c>
      <c r="W80" s="18">
        <v>61</v>
      </c>
      <c r="X80" s="18" t="s">
        <v>475</v>
      </c>
      <c r="Y80" s="18">
        <v>4</v>
      </c>
      <c r="Z80" s="18">
        <v>4</v>
      </c>
      <c r="AA80" s="18">
        <v>26</v>
      </c>
      <c r="AB80" s="18">
        <v>0</v>
      </c>
      <c r="AC80" s="18">
        <v>11</v>
      </c>
      <c r="AD80" s="18">
        <v>1</v>
      </c>
      <c r="AE80" s="18" t="s">
        <v>454</v>
      </c>
      <c r="AF80" s="18" t="s">
        <v>46</v>
      </c>
      <c r="AG80" s="18">
        <v>3.8079999999999998</v>
      </c>
      <c r="AH80" s="18" t="s">
        <v>362</v>
      </c>
      <c r="AI80" s="18" t="s">
        <v>363</v>
      </c>
      <c r="AJ80" s="18" t="s">
        <v>365</v>
      </c>
      <c r="AK80" s="18" t="s">
        <v>365</v>
      </c>
      <c r="AL80" s="18" t="s">
        <v>381</v>
      </c>
      <c r="AM80" s="18" t="s">
        <v>367</v>
      </c>
      <c r="AN80" s="18" t="s">
        <v>365</v>
      </c>
    </row>
    <row r="81" spans="1:40" ht="15" x14ac:dyDescent="0.25">
      <c r="A81" s="18" t="s">
        <v>224</v>
      </c>
      <c r="B81" s="18" t="s">
        <v>225</v>
      </c>
      <c r="C81" s="18" t="s">
        <v>361</v>
      </c>
      <c r="D81" s="18" t="s">
        <v>226</v>
      </c>
      <c r="E81" s="18" t="s">
        <v>43</v>
      </c>
      <c r="F81" s="18" t="s">
        <v>157</v>
      </c>
      <c r="G81" s="18" t="s">
        <v>158</v>
      </c>
      <c r="H81" s="18" t="s">
        <v>159</v>
      </c>
      <c r="I81" s="32">
        <v>3.9340000000000002</v>
      </c>
      <c r="J81" s="21">
        <v>4.4800000000000004</v>
      </c>
      <c r="K81" s="22">
        <v>9.5</v>
      </c>
      <c r="L81" s="23">
        <f>SUM(((K81)/1.2)-(J81))/((K81)/1.2)</f>
        <v>0.43410526315789472</v>
      </c>
      <c r="M81" s="24">
        <v>3.9340000000000002</v>
      </c>
      <c r="N81" s="25">
        <f>(M81-I81)/I81</f>
        <v>0</v>
      </c>
      <c r="O81" s="26">
        <v>0.14000000000000001</v>
      </c>
      <c r="P81" s="17">
        <f>M81+(M81*O81)</f>
        <v>4.4847600000000005</v>
      </c>
      <c r="Q81" s="12">
        <f>(P81*1.2)/(1-L81)</f>
        <v>9.5100937500000011</v>
      </c>
      <c r="R81" s="13">
        <f>SUM(((Q81)/1.2)-(P81))/((Q81)/1.2)</f>
        <v>0.43410526315789477</v>
      </c>
      <c r="S81" s="18">
        <v>737</v>
      </c>
      <c r="T81" s="18" t="s">
        <v>356</v>
      </c>
      <c r="U81" s="18" t="s">
        <v>370</v>
      </c>
      <c r="V81" s="18" t="s">
        <v>393</v>
      </c>
      <c r="W81" s="18">
        <v>58</v>
      </c>
      <c r="X81" s="18" t="s">
        <v>476</v>
      </c>
      <c r="Y81" s="18">
        <v>6</v>
      </c>
      <c r="Z81" s="18">
        <v>0</v>
      </c>
      <c r="AA81" s="18">
        <v>28</v>
      </c>
      <c r="AB81" s="18">
        <v>0</v>
      </c>
      <c r="AC81" s="18">
        <v>14</v>
      </c>
      <c r="AD81" s="18">
        <v>1</v>
      </c>
      <c r="AE81" s="18" t="s">
        <v>454</v>
      </c>
      <c r="AF81" s="18" t="s">
        <v>46</v>
      </c>
      <c r="AG81" s="18">
        <v>3.9340000000000002</v>
      </c>
      <c r="AH81" s="18" t="s">
        <v>362</v>
      </c>
      <c r="AI81" s="18" t="s">
        <v>363</v>
      </c>
      <c r="AJ81" s="18" t="s">
        <v>365</v>
      </c>
      <c r="AK81" s="18" t="s">
        <v>365</v>
      </c>
      <c r="AL81" s="18" t="s">
        <v>381</v>
      </c>
      <c r="AM81" s="18" t="s">
        <v>367</v>
      </c>
      <c r="AN81" s="18" t="s">
        <v>365</v>
      </c>
    </row>
    <row r="82" spans="1:40" ht="15" x14ac:dyDescent="0.25">
      <c r="A82" s="18" t="s">
        <v>227</v>
      </c>
      <c r="B82" s="18" t="s">
        <v>228</v>
      </c>
      <c r="C82" s="18" t="s">
        <v>361</v>
      </c>
      <c r="D82" s="18" t="s">
        <v>229</v>
      </c>
      <c r="E82" s="18" t="s">
        <v>43</v>
      </c>
      <c r="F82" s="18" t="s">
        <v>166</v>
      </c>
      <c r="G82" s="18" t="s">
        <v>171</v>
      </c>
      <c r="H82" s="18" t="s">
        <v>159</v>
      </c>
      <c r="I82" s="32">
        <v>7.6269999999999998</v>
      </c>
      <c r="J82" s="21">
        <v>8.31</v>
      </c>
      <c r="K82" s="22">
        <v>18.3</v>
      </c>
      <c r="L82" s="23">
        <f>SUM(((K82)/1.2)-(J82))/((K82)/1.2)</f>
        <v>0.45508196721311478</v>
      </c>
      <c r="M82" s="24">
        <v>7.6269999999999998</v>
      </c>
      <c r="N82" s="25">
        <f>(M82-I82)/I82</f>
        <v>0</v>
      </c>
      <c r="O82" s="30">
        <v>0.09</v>
      </c>
      <c r="P82" s="17">
        <f>M82+(M82*O82)</f>
        <v>8.3134300000000003</v>
      </c>
      <c r="Q82" s="12">
        <f>(P82*1.2)/(1-L82)</f>
        <v>18.307553429602887</v>
      </c>
      <c r="R82" s="13">
        <f>SUM(((Q82)/1.2)-(P82))/((Q82)/1.2)</f>
        <v>0.45508196721311472</v>
      </c>
      <c r="S82" s="18">
        <v>513</v>
      </c>
      <c r="T82" s="18" t="s">
        <v>356</v>
      </c>
      <c r="U82" s="18" t="s">
        <v>370</v>
      </c>
      <c r="V82" s="18" t="s">
        <v>370</v>
      </c>
      <c r="W82" s="18">
        <v>60</v>
      </c>
      <c r="X82" s="18" t="s">
        <v>477</v>
      </c>
      <c r="Y82" s="18">
        <v>5</v>
      </c>
      <c r="Z82" s="18">
        <v>0</v>
      </c>
      <c r="AA82" s="18">
        <v>32</v>
      </c>
      <c r="AB82" s="18">
        <v>0</v>
      </c>
      <c r="AC82" s="18">
        <v>14</v>
      </c>
      <c r="AD82" s="18">
        <v>1</v>
      </c>
      <c r="AE82" s="18" t="s">
        <v>454</v>
      </c>
      <c r="AF82" s="18" t="s">
        <v>46</v>
      </c>
      <c r="AG82" s="18">
        <v>7.6269999999999998</v>
      </c>
      <c r="AH82" s="18" t="s">
        <v>362</v>
      </c>
      <c r="AI82" s="18" t="s">
        <v>363</v>
      </c>
      <c r="AJ82" s="18" t="s">
        <v>365</v>
      </c>
      <c r="AK82" s="18" t="s">
        <v>365</v>
      </c>
      <c r="AL82" s="18" t="s">
        <v>381</v>
      </c>
      <c r="AM82" s="18" t="s">
        <v>367</v>
      </c>
      <c r="AN82" s="18" t="s">
        <v>365</v>
      </c>
    </row>
    <row r="83" spans="1:40" ht="15" x14ac:dyDescent="0.25">
      <c r="A83" s="18" t="s">
        <v>313</v>
      </c>
      <c r="B83" s="18" t="s">
        <v>314</v>
      </c>
      <c r="C83" s="18" t="s">
        <v>531</v>
      </c>
      <c r="D83" s="18" t="s">
        <v>315</v>
      </c>
      <c r="E83" s="18" t="s">
        <v>43</v>
      </c>
      <c r="F83" s="18" t="s">
        <v>54</v>
      </c>
      <c r="G83" s="18" t="s">
        <v>316</v>
      </c>
      <c r="H83" s="18" t="s">
        <v>241</v>
      </c>
      <c r="I83" s="32">
        <v>1.4570000000000001</v>
      </c>
      <c r="J83" s="21">
        <v>2.21</v>
      </c>
      <c r="K83" s="22">
        <v>6.95</v>
      </c>
      <c r="L83" s="23">
        <f>SUM(((K83)/1.2)-(J83))/((K83)/1.2)</f>
        <v>0.6184172661870504</v>
      </c>
      <c r="M83" s="24">
        <v>1.4570000000000001</v>
      </c>
      <c r="N83" s="25">
        <f>(M83-I83)/I83</f>
        <v>0</v>
      </c>
      <c r="O83" s="26">
        <v>0.52</v>
      </c>
      <c r="P83" s="17">
        <f>M83+(M83*O83)</f>
        <v>2.2146400000000002</v>
      </c>
      <c r="Q83" s="12">
        <f>(P83*1.2)/(1-L83)</f>
        <v>6.9645918552036203</v>
      </c>
      <c r="R83" s="13">
        <f>SUM(((Q83)/1.2)-(P83))/((Q83)/1.2)</f>
        <v>0.6184172661870504</v>
      </c>
      <c r="S83" s="18">
        <v>1480</v>
      </c>
      <c r="T83" s="18" t="s">
        <v>356</v>
      </c>
      <c r="U83" s="18" t="s">
        <v>357</v>
      </c>
      <c r="V83" s="18" t="s">
        <v>388</v>
      </c>
      <c r="W83" s="18">
        <v>587</v>
      </c>
      <c r="X83" s="18" t="s">
        <v>529</v>
      </c>
      <c r="Y83" s="18">
        <v>535</v>
      </c>
      <c r="Z83" s="18">
        <v>25</v>
      </c>
      <c r="AA83" s="18">
        <v>598</v>
      </c>
      <c r="AB83" s="18">
        <v>308</v>
      </c>
      <c r="AC83" s="18">
        <v>314</v>
      </c>
      <c r="AD83" s="18">
        <v>5</v>
      </c>
      <c r="AE83" s="18" t="s">
        <v>530</v>
      </c>
      <c r="AF83" s="18" t="s">
        <v>532</v>
      </c>
      <c r="AG83" s="18">
        <v>1.4570000000000001</v>
      </c>
      <c r="AH83" s="18" t="s">
        <v>362</v>
      </c>
      <c r="AI83" s="18" t="s">
        <v>363</v>
      </c>
      <c r="AJ83" s="18" t="s">
        <v>365</v>
      </c>
      <c r="AK83" s="18" t="s">
        <v>365</v>
      </c>
      <c r="AL83" s="18" t="s">
        <v>381</v>
      </c>
      <c r="AM83" s="18" t="s">
        <v>367</v>
      </c>
      <c r="AN83" s="18" t="s">
        <v>365</v>
      </c>
    </row>
    <row r="84" spans="1:40" ht="15" x14ac:dyDescent="0.25">
      <c r="A84" s="18" t="s">
        <v>317</v>
      </c>
      <c r="B84" s="18" t="s">
        <v>318</v>
      </c>
      <c r="C84" s="18" t="s">
        <v>531</v>
      </c>
      <c r="D84" s="18" t="s">
        <v>319</v>
      </c>
      <c r="E84" s="18" t="s">
        <v>43</v>
      </c>
      <c r="F84" s="18" t="s">
        <v>54</v>
      </c>
      <c r="G84" s="18" t="s">
        <v>316</v>
      </c>
      <c r="H84" s="18" t="s">
        <v>241</v>
      </c>
      <c r="I84" s="33">
        <v>1.383</v>
      </c>
      <c r="J84" s="27">
        <v>2.1</v>
      </c>
      <c r="K84" s="28">
        <v>6.95</v>
      </c>
      <c r="L84" s="23">
        <f>SUM(((K84)/1.2)-(J84))/((K84)/1.2)</f>
        <v>0.63741007194244603</v>
      </c>
      <c r="M84" s="29">
        <v>1.383</v>
      </c>
      <c r="N84" s="25">
        <f>(M84-I84)/I84</f>
        <v>0</v>
      </c>
      <c r="O84" s="26">
        <v>0.52</v>
      </c>
      <c r="P84" s="17">
        <f>M84+(M84*O84)</f>
        <v>2.10216</v>
      </c>
      <c r="Q84" s="12">
        <f>(P84*1.2)/(1-L84)</f>
        <v>6.9571485714285712</v>
      </c>
      <c r="R84" s="13">
        <f>SUM(((Q84)/1.2)-(P84))/((Q84)/1.2)</f>
        <v>0.63741007194244603</v>
      </c>
      <c r="S84" s="18">
        <v>1013</v>
      </c>
      <c r="T84" s="18" t="s">
        <v>356</v>
      </c>
      <c r="U84" s="18" t="s">
        <v>357</v>
      </c>
      <c r="V84" s="18" t="s">
        <v>388</v>
      </c>
      <c r="W84" s="18">
        <v>481</v>
      </c>
      <c r="X84" s="18" t="s">
        <v>533</v>
      </c>
      <c r="Y84" s="18">
        <v>335</v>
      </c>
      <c r="Z84" s="18">
        <v>15</v>
      </c>
      <c r="AA84" s="18">
        <v>336</v>
      </c>
      <c r="AB84" s="18">
        <v>246</v>
      </c>
      <c r="AC84" s="18">
        <v>170</v>
      </c>
      <c r="AD84" s="18">
        <v>5</v>
      </c>
      <c r="AE84" s="18" t="s">
        <v>530</v>
      </c>
      <c r="AF84" s="18" t="s">
        <v>532</v>
      </c>
      <c r="AG84" s="18">
        <v>1.383</v>
      </c>
      <c r="AH84" s="18" t="s">
        <v>362</v>
      </c>
      <c r="AI84" s="18" t="s">
        <v>363</v>
      </c>
      <c r="AJ84" s="18" t="s">
        <v>365</v>
      </c>
      <c r="AK84" s="18" t="s">
        <v>365</v>
      </c>
      <c r="AL84" s="18" t="s">
        <v>366</v>
      </c>
      <c r="AM84" s="18" t="s">
        <v>367</v>
      </c>
      <c r="AN84" s="18" t="s">
        <v>365</v>
      </c>
    </row>
    <row r="85" spans="1:40" ht="15" x14ac:dyDescent="0.25">
      <c r="A85" s="18" t="s">
        <v>320</v>
      </c>
      <c r="B85" s="18" t="s">
        <v>321</v>
      </c>
      <c r="C85" s="18" t="s">
        <v>531</v>
      </c>
      <c r="D85" s="18" t="s">
        <v>322</v>
      </c>
      <c r="E85" s="18" t="s">
        <v>43</v>
      </c>
      <c r="F85" s="18" t="s">
        <v>54</v>
      </c>
      <c r="G85" s="18" t="s">
        <v>316</v>
      </c>
      <c r="H85" s="18" t="s">
        <v>241</v>
      </c>
      <c r="I85" s="32">
        <v>1.4810000000000001</v>
      </c>
      <c r="J85" s="21">
        <v>2.25</v>
      </c>
      <c r="K85" s="22">
        <v>6.95</v>
      </c>
      <c r="L85" s="23">
        <f>SUM(((K85)/1.2)-(J85))/((K85)/1.2)</f>
        <v>0.61151079136690645</v>
      </c>
      <c r="M85" s="24">
        <v>1.4810000000000001</v>
      </c>
      <c r="N85" s="25">
        <f>(M85-I85)/I85</f>
        <v>0</v>
      </c>
      <c r="O85" s="26">
        <v>0.52</v>
      </c>
      <c r="P85" s="17">
        <f>M85+(M85*O85)</f>
        <v>2.2511200000000002</v>
      </c>
      <c r="Q85" s="12">
        <f>(P85*1.2)/(1-L85)</f>
        <v>6.9534595555555558</v>
      </c>
      <c r="R85" s="13">
        <f>SUM(((Q85)/1.2)-(P85))/((Q85)/1.2)</f>
        <v>0.61151079136690645</v>
      </c>
      <c r="S85" s="18">
        <v>809</v>
      </c>
      <c r="T85" s="18" t="s">
        <v>356</v>
      </c>
      <c r="U85" s="18" t="s">
        <v>357</v>
      </c>
      <c r="V85" s="18" t="s">
        <v>388</v>
      </c>
      <c r="W85" s="18">
        <v>499</v>
      </c>
      <c r="X85" s="18" t="s">
        <v>534</v>
      </c>
      <c r="Y85" s="18">
        <v>815</v>
      </c>
      <c r="Z85" s="18">
        <v>15</v>
      </c>
      <c r="AA85" s="18">
        <v>316</v>
      </c>
      <c r="AB85" s="18">
        <v>170</v>
      </c>
      <c r="AC85" s="18">
        <v>167</v>
      </c>
      <c r="AD85" s="18">
        <v>5</v>
      </c>
      <c r="AE85" s="18" t="s">
        <v>530</v>
      </c>
      <c r="AF85" s="18" t="s">
        <v>532</v>
      </c>
      <c r="AG85" s="18">
        <v>1.4810000000000001</v>
      </c>
      <c r="AH85" s="18" t="s">
        <v>362</v>
      </c>
      <c r="AI85" s="18" t="s">
        <v>363</v>
      </c>
      <c r="AJ85" s="18" t="s">
        <v>365</v>
      </c>
      <c r="AK85" s="18" t="s">
        <v>365</v>
      </c>
      <c r="AL85" s="18" t="s">
        <v>381</v>
      </c>
      <c r="AM85" s="18" t="s">
        <v>367</v>
      </c>
      <c r="AN85" s="18" t="s">
        <v>365</v>
      </c>
    </row>
    <row r="86" spans="1:40" ht="15" x14ac:dyDescent="0.25">
      <c r="A86" s="18" t="s">
        <v>323</v>
      </c>
      <c r="B86" s="18" t="s">
        <v>324</v>
      </c>
      <c r="C86" s="18" t="s">
        <v>531</v>
      </c>
      <c r="D86" s="18" t="s">
        <v>325</v>
      </c>
      <c r="E86" s="18" t="s">
        <v>43</v>
      </c>
      <c r="F86" s="18" t="s">
        <v>54</v>
      </c>
      <c r="G86" s="18" t="s">
        <v>316</v>
      </c>
      <c r="H86" s="18" t="s">
        <v>241</v>
      </c>
      <c r="I86" s="32">
        <v>1.278</v>
      </c>
      <c r="J86" s="21">
        <v>1.94</v>
      </c>
      <c r="K86" s="22">
        <v>6.95</v>
      </c>
      <c r="L86" s="23">
        <f>SUM(((K86)/1.2)-(J86))/((K86)/1.2)</f>
        <v>0.6650359712230216</v>
      </c>
      <c r="M86" s="24">
        <v>1.278</v>
      </c>
      <c r="N86" s="25">
        <f>(M86-I86)/I86</f>
        <v>0</v>
      </c>
      <c r="O86" s="26">
        <v>0.52</v>
      </c>
      <c r="P86" s="17">
        <f>M86+(M86*O86)</f>
        <v>1.9425600000000001</v>
      </c>
      <c r="Q86" s="12">
        <f>(P86*1.2)/(1-L86)</f>
        <v>6.9591711340206182</v>
      </c>
      <c r="R86" s="13">
        <f>SUM(((Q86)/1.2)-(P86))/((Q86)/1.2)</f>
        <v>0.66503597122302149</v>
      </c>
      <c r="S86" s="18">
        <v>731</v>
      </c>
      <c r="T86" s="18" t="s">
        <v>356</v>
      </c>
      <c r="U86" s="18" t="s">
        <v>357</v>
      </c>
      <c r="V86" s="18" t="s">
        <v>358</v>
      </c>
      <c r="W86" s="18">
        <v>466</v>
      </c>
      <c r="X86" s="18" t="s">
        <v>535</v>
      </c>
      <c r="Y86" s="18">
        <v>485</v>
      </c>
      <c r="Z86" s="18">
        <v>10</v>
      </c>
      <c r="AA86" s="18">
        <v>160</v>
      </c>
      <c r="AB86" s="18">
        <v>120</v>
      </c>
      <c r="AC86" s="18">
        <v>76</v>
      </c>
      <c r="AD86" s="18">
        <v>5</v>
      </c>
      <c r="AE86" s="18" t="s">
        <v>530</v>
      </c>
      <c r="AF86" s="18" t="s">
        <v>532</v>
      </c>
      <c r="AG86" s="18">
        <v>1.278</v>
      </c>
      <c r="AH86" s="18" t="s">
        <v>362</v>
      </c>
      <c r="AI86" s="18" t="s">
        <v>363</v>
      </c>
      <c r="AJ86" s="18" t="s">
        <v>365</v>
      </c>
      <c r="AK86" s="18" t="s">
        <v>365</v>
      </c>
      <c r="AL86" s="18" t="s">
        <v>381</v>
      </c>
      <c r="AM86" s="18" t="s">
        <v>367</v>
      </c>
      <c r="AN86" s="18" t="s">
        <v>365</v>
      </c>
    </row>
    <row r="87" spans="1:40" ht="15" x14ac:dyDescent="0.25">
      <c r="A87" s="18" t="s">
        <v>326</v>
      </c>
      <c r="B87" s="18" t="s">
        <v>327</v>
      </c>
      <c r="C87" s="18" t="s">
        <v>531</v>
      </c>
      <c r="D87" s="18" t="s">
        <v>328</v>
      </c>
      <c r="E87" s="18" t="s">
        <v>43</v>
      </c>
      <c r="F87" s="18" t="s">
        <v>54</v>
      </c>
      <c r="G87" s="18" t="s">
        <v>316</v>
      </c>
      <c r="H87" s="18" t="s">
        <v>241</v>
      </c>
      <c r="I87" s="32">
        <v>1.286</v>
      </c>
      <c r="J87" s="21">
        <v>1.95</v>
      </c>
      <c r="K87" s="22">
        <v>6.95</v>
      </c>
      <c r="L87" s="23">
        <f>SUM(((K87)/1.2)-(J87))/((K87)/1.2)</f>
        <v>0.66330935251798562</v>
      </c>
      <c r="M87" s="24">
        <v>1.286</v>
      </c>
      <c r="N87" s="25">
        <f>(M87-I87)/I87</f>
        <v>0</v>
      </c>
      <c r="O87" s="26">
        <v>0.52</v>
      </c>
      <c r="P87" s="17">
        <f>M87+(M87*O87)</f>
        <v>1.95472</v>
      </c>
      <c r="Q87" s="12">
        <f>(P87*1.2)/(1-L87)</f>
        <v>6.9668225641025634</v>
      </c>
      <c r="R87" s="13">
        <f>SUM(((Q87)/1.2)-(P87))/((Q87)/1.2)</f>
        <v>0.66330935251798562</v>
      </c>
      <c r="S87" s="18">
        <v>592</v>
      </c>
      <c r="T87" s="18" t="s">
        <v>356</v>
      </c>
      <c r="U87" s="18" t="s">
        <v>357</v>
      </c>
      <c r="V87" s="18" t="s">
        <v>358</v>
      </c>
      <c r="W87" s="18">
        <v>461</v>
      </c>
      <c r="X87" s="18" t="s">
        <v>536</v>
      </c>
      <c r="Y87" s="18">
        <v>495</v>
      </c>
      <c r="Z87" s="18">
        <v>5</v>
      </c>
      <c r="AA87" s="18">
        <v>200</v>
      </c>
      <c r="AB87" s="18">
        <v>124</v>
      </c>
      <c r="AC87" s="18">
        <v>102</v>
      </c>
      <c r="AD87" s="18">
        <v>5</v>
      </c>
      <c r="AE87" s="18" t="s">
        <v>530</v>
      </c>
      <c r="AF87" s="18" t="s">
        <v>532</v>
      </c>
      <c r="AG87" s="18">
        <v>1.286</v>
      </c>
      <c r="AH87" s="18" t="s">
        <v>362</v>
      </c>
      <c r="AI87" s="18" t="s">
        <v>363</v>
      </c>
      <c r="AJ87" s="18" t="s">
        <v>365</v>
      </c>
      <c r="AK87" s="18" t="s">
        <v>365</v>
      </c>
      <c r="AL87" s="18" t="s">
        <v>381</v>
      </c>
      <c r="AM87" s="18" t="s">
        <v>367</v>
      </c>
      <c r="AN87" s="18" t="s">
        <v>365</v>
      </c>
    </row>
    <row r="88" spans="1:40" ht="15" x14ac:dyDescent="0.25">
      <c r="A88" s="18" t="s">
        <v>329</v>
      </c>
      <c r="B88" s="18" t="s">
        <v>330</v>
      </c>
      <c r="C88" s="18" t="s">
        <v>531</v>
      </c>
      <c r="D88" s="18" t="s">
        <v>331</v>
      </c>
      <c r="E88" s="18" t="s">
        <v>43</v>
      </c>
      <c r="F88" s="18" t="s">
        <v>54</v>
      </c>
      <c r="G88" s="18" t="s">
        <v>316</v>
      </c>
      <c r="H88" s="18" t="s">
        <v>241</v>
      </c>
      <c r="I88" s="32">
        <v>1.506</v>
      </c>
      <c r="J88" s="21">
        <v>2.29</v>
      </c>
      <c r="K88" s="22">
        <v>6.95</v>
      </c>
      <c r="L88" s="23">
        <f>SUM(((K88)/1.2)-(J88))/((K88)/1.2)</f>
        <v>0.60460431654676261</v>
      </c>
      <c r="M88" s="24">
        <v>1.506</v>
      </c>
      <c r="N88" s="25">
        <f>(M88-I88)/I88</f>
        <v>0</v>
      </c>
      <c r="O88" s="26">
        <v>0.52</v>
      </c>
      <c r="P88" s="17">
        <f>M88+(M88*O88)</f>
        <v>2.28912</v>
      </c>
      <c r="Q88" s="12">
        <f>(P88*1.2)/(1-L88)</f>
        <v>6.9473292576419219</v>
      </c>
      <c r="R88" s="13">
        <f>SUM(((Q88)/1.2)-(P88))/((Q88)/1.2)</f>
        <v>0.60460431654676261</v>
      </c>
      <c r="S88" s="18">
        <v>1155</v>
      </c>
      <c r="T88" s="18" t="s">
        <v>356</v>
      </c>
      <c r="U88" s="18" t="s">
        <v>357</v>
      </c>
      <c r="V88" s="18" t="s">
        <v>388</v>
      </c>
      <c r="W88" s="18">
        <v>552</v>
      </c>
      <c r="X88" s="18" t="s">
        <v>537</v>
      </c>
      <c r="Y88" s="18">
        <v>1000</v>
      </c>
      <c r="Z88" s="18">
        <v>20</v>
      </c>
      <c r="AA88" s="18">
        <v>500</v>
      </c>
      <c r="AB88" s="18">
        <v>333</v>
      </c>
      <c r="AC88" s="18">
        <v>264</v>
      </c>
      <c r="AD88" s="18">
        <v>5</v>
      </c>
      <c r="AE88" s="18" t="s">
        <v>530</v>
      </c>
      <c r="AF88" s="18" t="s">
        <v>532</v>
      </c>
      <c r="AG88" s="18">
        <v>1.506</v>
      </c>
      <c r="AH88" s="18" t="s">
        <v>362</v>
      </c>
      <c r="AI88" s="18" t="s">
        <v>363</v>
      </c>
      <c r="AJ88" s="18" t="s">
        <v>365</v>
      </c>
      <c r="AK88" s="18" t="s">
        <v>365</v>
      </c>
      <c r="AL88" s="18" t="s">
        <v>381</v>
      </c>
      <c r="AM88" s="18" t="s">
        <v>367</v>
      </c>
      <c r="AN88" s="18" t="s">
        <v>365</v>
      </c>
    </row>
    <row r="89" spans="1:40" ht="15" x14ac:dyDescent="0.25">
      <c r="A89" s="18" t="s">
        <v>332</v>
      </c>
      <c r="B89" s="18" t="s">
        <v>333</v>
      </c>
      <c r="C89" s="18" t="s">
        <v>531</v>
      </c>
      <c r="D89" s="18" t="s">
        <v>334</v>
      </c>
      <c r="E89" s="18" t="s">
        <v>43</v>
      </c>
      <c r="F89" s="18" t="s">
        <v>54</v>
      </c>
      <c r="G89" s="18" t="s">
        <v>316</v>
      </c>
      <c r="H89" s="18" t="s">
        <v>241</v>
      </c>
      <c r="I89" s="32">
        <v>1.278</v>
      </c>
      <c r="J89" s="21">
        <v>1.94</v>
      </c>
      <c r="K89" s="22">
        <v>6.95</v>
      </c>
      <c r="L89" s="23">
        <f>SUM(((K89)/1.2)-(J89))/((K89)/1.2)</f>
        <v>0.6650359712230216</v>
      </c>
      <c r="M89" s="24">
        <v>1.278</v>
      </c>
      <c r="N89" s="25">
        <f>(M89-I89)/I89</f>
        <v>0</v>
      </c>
      <c r="O89" s="26">
        <v>0.52</v>
      </c>
      <c r="P89" s="17">
        <f>M89+(M89*O89)</f>
        <v>1.9425600000000001</v>
      </c>
      <c r="Q89" s="12">
        <f>(P89*1.2)/(1-L89)</f>
        <v>6.9591711340206182</v>
      </c>
      <c r="R89" s="13">
        <f>SUM(((Q89)/1.2)-(P89))/((Q89)/1.2)</f>
        <v>0.66503597122302149</v>
      </c>
      <c r="S89" s="18">
        <v>878</v>
      </c>
      <c r="T89" s="18" t="s">
        <v>356</v>
      </c>
      <c r="U89" s="18" t="s">
        <v>357</v>
      </c>
      <c r="V89" s="18" t="s">
        <v>388</v>
      </c>
      <c r="W89" s="18">
        <v>484</v>
      </c>
      <c r="X89" s="18" t="s">
        <v>538</v>
      </c>
      <c r="Y89" s="18">
        <v>485</v>
      </c>
      <c r="Z89" s="18">
        <v>15</v>
      </c>
      <c r="AA89" s="18">
        <v>356</v>
      </c>
      <c r="AB89" s="18">
        <v>189</v>
      </c>
      <c r="AC89" s="18">
        <v>187</v>
      </c>
      <c r="AD89" s="18">
        <v>5</v>
      </c>
      <c r="AE89" s="18" t="s">
        <v>530</v>
      </c>
      <c r="AF89" s="18" t="s">
        <v>532</v>
      </c>
      <c r="AG89" s="18">
        <v>1.278</v>
      </c>
      <c r="AH89" s="18" t="s">
        <v>362</v>
      </c>
      <c r="AI89" s="18" t="s">
        <v>363</v>
      </c>
      <c r="AJ89" s="18" t="s">
        <v>365</v>
      </c>
      <c r="AK89" s="18" t="s">
        <v>365</v>
      </c>
      <c r="AL89" s="18" t="s">
        <v>381</v>
      </c>
      <c r="AM89" s="18" t="s">
        <v>367</v>
      </c>
      <c r="AN89" s="18" t="s">
        <v>365</v>
      </c>
    </row>
    <row r="90" spans="1:40" ht="15" x14ac:dyDescent="0.25">
      <c r="A90" s="18" t="s">
        <v>335</v>
      </c>
      <c r="B90" s="18" t="s">
        <v>336</v>
      </c>
      <c r="C90" s="18" t="s">
        <v>531</v>
      </c>
      <c r="D90" s="18" t="s">
        <v>337</v>
      </c>
      <c r="E90" s="18" t="s">
        <v>43</v>
      </c>
      <c r="F90" s="18" t="s">
        <v>54</v>
      </c>
      <c r="G90" s="18" t="s">
        <v>316</v>
      </c>
      <c r="H90" s="18" t="s">
        <v>241</v>
      </c>
      <c r="I90" s="32">
        <v>1.5780000000000001</v>
      </c>
      <c r="J90" s="21">
        <v>2.4</v>
      </c>
      <c r="K90" s="22">
        <v>6.95</v>
      </c>
      <c r="L90" s="23">
        <f>SUM(((K90)/1.2)-(J90))/((K90)/1.2)</f>
        <v>0.58561151079136697</v>
      </c>
      <c r="M90" s="24">
        <v>1.5780000000000001</v>
      </c>
      <c r="N90" s="25">
        <f>(M90-I90)/I90</f>
        <v>0</v>
      </c>
      <c r="O90" s="26">
        <v>0.52</v>
      </c>
      <c r="P90" s="17">
        <f>M90+(M90*O90)</f>
        <v>2.3985600000000002</v>
      </c>
      <c r="Q90" s="12">
        <f>(P90*1.2)/(1-L90)</f>
        <v>6.9458300000000017</v>
      </c>
      <c r="R90" s="13">
        <f>SUM(((Q90)/1.2)-(P90))/((Q90)/1.2)</f>
        <v>0.58561151079136697</v>
      </c>
      <c r="S90" s="18">
        <v>855</v>
      </c>
      <c r="T90" s="18" t="s">
        <v>356</v>
      </c>
      <c r="U90" s="18" t="s">
        <v>357</v>
      </c>
      <c r="V90" s="18" t="s">
        <v>388</v>
      </c>
      <c r="W90" s="18">
        <v>500</v>
      </c>
      <c r="X90" s="18" t="s">
        <v>539</v>
      </c>
      <c r="Y90" s="18">
        <v>690</v>
      </c>
      <c r="Z90" s="18">
        <v>10</v>
      </c>
      <c r="AA90" s="18">
        <v>444</v>
      </c>
      <c r="AB90" s="18">
        <v>219</v>
      </c>
      <c r="AC90" s="18">
        <v>235</v>
      </c>
      <c r="AD90" s="18">
        <v>5</v>
      </c>
      <c r="AE90" s="18" t="s">
        <v>530</v>
      </c>
      <c r="AF90" s="18" t="s">
        <v>532</v>
      </c>
      <c r="AG90" s="18">
        <v>1.5780000000000001</v>
      </c>
      <c r="AH90" s="18" t="s">
        <v>362</v>
      </c>
      <c r="AI90" s="18" t="s">
        <v>363</v>
      </c>
      <c r="AJ90" s="18" t="s">
        <v>365</v>
      </c>
      <c r="AK90" s="18" t="s">
        <v>365</v>
      </c>
      <c r="AL90" s="18" t="s">
        <v>381</v>
      </c>
      <c r="AM90" s="18" t="s">
        <v>367</v>
      </c>
      <c r="AN90" s="18" t="s">
        <v>365</v>
      </c>
    </row>
    <row r="91" spans="1:40" ht="15" x14ac:dyDescent="0.25">
      <c r="A91" s="18" t="s">
        <v>338</v>
      </c>
      <c r="B91" s="18" t="s">
        <v>339</v>
      </c>
      <c r="C91" s="18" t="s">
        <v>531</v>
      </c>
      <c r="D91" s="18" t="s">
        <v>340</v>
      </c>
      <c r="E91" s="18" t="s">
        <v>43</v>
      </c>
      <c r="F91" s="18" t="s">
        <v>54</v>
      </c>
      <c r="G91" s="18" t="s">
        <v>316</v>
      </c>
      <c r="H91" s="18" t="s">
        <v>241</v>
      </c>
      <c r="I91" s="33">
        <v>1.4219999999999999</v>
      </c>
      <c r="J91" s="27">
        <v>2.16</v>
      </c>
      <c r="K91" s="28">
        <v>7.95</v>
      </c>
      <c r="L91" s="23">
        <f>SUM(((K91)/1.2)-(J91))/((K91)/1.2)</f>
        <v>0.6739622641509434</v>
      </c>
      <c r="M91" s="29">
        <v>1.4219999999999999</v>
      </c>
      <c r="N91" s="25">
        <f>(M91-I91)/I91</f>
        <v>0</v>
      </c>
      <c r="O91" s="26">
        <v>0.52</v>
      </c>
      <c r="P91" s="17">
        <f>M91+(M91*O91)</f>
        <v>2.1614399999999998</v>
      </c>
      <c r="Q91" s="12">
        <f>(P91*1.2)/(1-L91)</f>
        <v>7.9552999999999985</v>
      </c>
      <c r="R91" s="13">
        <f>SUM(((Q91)/1.2)-(P91))/((Q91)/1.2)</f>
        <v>0.6739622641509434</v>
      </c>
      <c r="S91" s="18">
        <v>1005</v>
      </c>
      <c r="T91" s="18" t="s">
        <v>356</v>
      </c>
      <c r="U91" s="18" t="s">
        <v>357</v>
      </c>
      <c r="V91" s="18" t="s">
        <v>388</v>
      </c>
      <c r="W91" s="18">
        <v>508</v>
      </c>
      <c r="X91" s="18" t="s">
        <v>540</v>
      </c>
      <c r="Y91" s="18">
        <v>325</v>
      </c>
      <c r="Z91" s="18">
        <v>15</v>
      </c>
      <c r="AA91" s="18">
        <v>308</v>
      </c>
      <c r="AB91" s="18">
        <v>194</v>
      </c>
      <c r="AC91" s="18">
        <v>161</v>
      </c>
      <c r="AD91" s="18">
        <v>5</v>
      </c>
      <c r="AE91" s="18" t="s">
        <v>530</v>
      </c>
      <c r="AF91" s="18" t="s">
        <v>532</v>
      </c>
      <c r="AG91" s="18">
        <v>1.4219999999999999</v>
      </c>
      <c r="AH91" s="18" t="s">
        <v>362</v>
      </c>
      <c r="AI91" s="18" t="s">
        <v>363</v>
      </c>
      <c r="AJ91" s="18" t="s">
        <v>365</v>
      </c>
      <c r="AK91" s="18" t="s">
        <v>365</v>
      </c>
      <c r="AL91" s="18" t="s">
        <v>366</v>
      </c>
      <c r="AM91" s="18" t="s">
        <v>367</v>
      </c>
      <c r="AN91" s="18" t="s">
        <v>365</v>
      </c>
    </row>
    <row r="92" spans="1:40" ht="15" x14ac:dyDescent="0.25">
      <c r="A92" s="18" t="s">
        <v>341</v>
      </c>
      <c r="B92" s="18" t="s">
        <v>342</v>
      </c>
      <c r="C92" s="18" t="s">
        <v>531</v>
      </c>
      <c r="D92" s="18" t="s">
        <v>343</v>
      </c>
      <c r="E92" s="18" t="s">
        <v>43</v>
      </c>
      <c r="F92" s="18" t="s">
        <v>54</v>
      </c>
      <c r="G92" s="18" t="s">
        <v>255</v>
      </c>
      <c r="H92" s="18" t="s">
        <v>241</v>
      </c>
      <c r="I92" s="32">
        <v>0.78400000000000003</v>
      </c>
      <c r="J92" s="21">
        <v>1.24</v>
      </c>
      <c r="K92" s="22">
        <v>5.95</v>
      </c>
      <c r="L92" s="23">
        <f>SUM(((K92)/1.2)-(J92))/((K92)/1.2)</f>
        <v>0.74991596638655456</v>
      </c>
      <c r="M92" s="24">
        <v>0.78400000000000003</v>
      </c>
      <c r="N92" s="25">
        <f>(M92-I92)/I92</f>
        <v>0</v>
      </c>
      <c r="O92" s="26">
        <v>0.58000000000000007</v>
      </c>
      <c r="P92" s="17">
        <f>M92+(M92*O92)</f>
        <v>1.23872</v>
      </c>
      <c r="Q92" s="12">
        <f>(P92*1.2)/(1-L92)</f>
        <v>5.9438580645161272</v>
      </c>
      <c r="R92" s="13">
        <f>SUM(((Q92)/1.2)-(P92))/((Q92)/1.2)</f>
        <v>0.74991596638655456</v>
      </c>
      <c r="S92" s="18">
        <v>1162</v>
      </c>
      <c r="T92" s="18" t="s">
        <v>356</v>
      </c>
      <c r="U92" s="18" t="s">
        <v>357</v>
      </c>
      <c r="V92" s="18" t="s">
        <v>388</v>
      </c>
      <c r="W92" s="18">
        <v>658</v>
      </c>
      <c r="X92" s="18" t="s">
        <v>541</v>
      </c>
      <c r="Y92" s="18">
        <v>1150</v>
      </c>
      <c r="Z92" s="18">
        <v>20</v>
      </c>
      <c r="AA92" s="18">
        <v>754</v>
      </c>
      <c r="AB92" s="18">
        <v>255</v>
      </c>
      <c r="AC92" s="18">
        <v>402</v>
      </c>
      <c r="AD92" s="18">
        <v>5</v>
      </c>
      <c r="AE92" s="18" t="s">
        <v>530</v>
      </c>
      <c r="AF92" s="18" t="s">
        <v>532</v>
      </c>
      <c r="AG92" s="18">
        <v>0.78400000000000003</v>
      </c>
      <c r="AH92" s="18" t="s">
        <v>362</v>
      </c>
      <c r="AI92" s="18" t="s">
        <v>363</v>
      </c>
      <c r="AJ92" s="18" t="s">
        <v>365</v>
      </c>
      <c r="AK92" s="18" t="s">
        <v>365</v>
      </c>
      <c r="AL92" s="18" t="s">
        <v>366</v>
      </c>
      <c r="AM92" s="18" t="s">
        <v>367</v>
      </c>
      <c r="AN92" s="18" t="s">
        <v>365</v>
      </c>
    </row>
    <row r="93" spans="1:40" ht="15" x14ac:dyDescent="0.25">
      <c r="A93" s="18" t="s">
        <v>344</v>
      </c>
      <c r="B93" s="18" t="s">
        <v>345</v>
      </c>
      <c r="C93" s="18" t="s">
        <v>531</v>
      </c>
      <c r="D93" s="18" t="s">
        <v>346</v>
      </c>
      <c r="E93" s="18" t="s">
        <v>43</v>
      </c>
      <c r="F93" s="18" t="s">
        <v>54</v>
      </c>
      <c r="G93" s="18" t="s">
        <v>255</v>
      </c>
      <c r="H93" s="18" t="s">
        <v>241</v>
      </c>
      <c r="I93" s="32">
        <v>3.8159999999999998</v>
      </c>
      <c r="J93" s="21">
        <v>6.03</v>
      </c>
      <c r="K93" s="22">
        <v>19.95</v>
      </c>
      <c r="L93" s="23">
        <f>SUM(((K93)/1.2)-(J93))/((K93)/1.2)</f>
        <v>0.63729323308270669</v>
      </c>
      <c r="M93" s="24">
        <v>3.8159999999999998</v>
      </c>
      <c r="N93" s="25">
        <f>(M93-I93)/I93</f>
        <v>0</v>
      </c>
      <c r="O93" s="26">
        <v>0.58000000000000007</v>
      </c>
      <c r="P93" s="17">
        <f>M93+(M93*O93)</f>
        <v>6.02928</v>
      </c>
      <c r="Q93" s="12">
        <f>(P93*1.2)/(1-L93)</f>
        <v>19.947617910447757</v>
      </c>
      <c r="R93" s="13">
        <f>SUM(((Q93)/1.2)-(P93))/((Q93)/1.2)</f>
        <v>0.63729323308270669</v>
      </c>
      <c r="S93" s="18">
        <v>793</v>
      </c>
      <c r="T93" s="18" t="s">
        <v>356</v>
      </c>
      <c r="U93" s="18" t="s">
        <v>357</v>
      </c>
      <c r="V93" s="18" t="s">
        <v>388</v>
      </c>
      <c r="W93" s="18">
        <v>350</v>
      </c>
      <c r="X93" s="18" t="s">
        <v>542</v>
      </c>
      <c r="Y93" s="18">
        <v>525</v>
      </c>
      <c r="Z93" s="18">
        <v>14</v>
      </c>
      <c r="AA93" s="18">
        <v>464</v>
      </c>
      <c r="AB93" s="18">
        <v>104</v>
      </c>
      <c r="AC93" s="18">
        <v>240</v>
      </c>
      <c r="AD93" s="18">
        <v>2</v>
      </c>
      <c r="AE93" s="18" t="s">
        <v>530</v>
      </c>
      <c r="AF93" s="18" t="s">
        <v>532</v>
      </c>
      <c r="AG93" s="18">
        <v>3.8159999999999998</v>
      </c>
      <c r="AH93" s="18" t="s">
        <v>362</v>
      </c>
      <c r="AI93" s="18" t="s">
        <v>363</v>
      </c>
      <c r="AJ93" s="18" t="s">
        <v>365</v>
      </c>
      <c r="AK93" s="18" t="s">
        <v>365</v>
      </c>
      <c r="AL93" s="18" t="s">
        <v>366</v>
      </c>
      <c r="AM93" s="18" t="s">
        <v>367</v>
      </c>
      <c r="AN93" s="18" t="s">
        <v>365</v>
      </c>
    </row>
    <row r="94" spans="1:40" ht="15" x14ac:dyDescent="0.25">
      <c r="A94" s="18" t="s">
        <v>347</v>
      </c>
      <c r="B94" s="18" t="s">
        <v>348</v>
      </c>
      <c r="C94" s="18" t="s">
        <v>531</v>
      </c>
      <c r="D94" s="18" t="s">
        <v>349</v>
      </c>
      <c r="E94" s="18" t="s">
        <v>43</v>
      </c>
      <c r="F94" s="18" t="s">
        <v>54</v>
      </c>
      <c r="G94" s="18" t="s">
        <v>316</v>
      </c>
      <c r="H94" s="18" t="s">
        <v>241</v>
      </c>
      <c r="I94" s="32">
        <v>1.639</v>
      </c>
      <c r="J94" s="21">
        <v>2.4900000000000002</v>
      </c>
      <c r="K94" s="22">
        <v>7.95</v>
      </c>
      <c r="L94" s="23">
        <f>SUM(((K94)/1.2)-(J94))/((K94)/1.2)</f>
        <v>0.62415094339622634</v>
      </c>
      <c r="M94" s="24">
        <v>1.639</v>
      </c>
      <c r="N94" s="25">
        <f>(M94-I94)/I94</f>
        <v>0</v>
      </c>
      <c r="O94" s="26">
        <v>0.52</v>
      </c>
      <c r="P94" s="17">
        <f>M94+(M94*O94)</f>
        <v>2.4912800000000002</v>
      </c>
      <c r="Q94" s="12">
        <f>(P94*1.2)/(1-L94)</f>
        <v>7.9540867469879508</v>
      </c>
      <c r="R94" s="13">
        <f>SUM(((Q94)/1.2)-(P94))/((Q94)/1.2)</f>
        <v>0.62415094339622645</v>
      </c>
      <c r="S94" s="18">
        <v>752</v>
      </c>
      <c r="T94" s="18" t="s">
        <v>356</v>
      </c>
      <c r="U94" s="18" t="s">
        <v>357</v>
      </c>
      <c r="V94" s="18" t="s">
        <v>388</v>
      </c>
      <c r="W94" s="18">
        <v>487</v>
      </c>
      <c r="X94" s="18" t="s">
        <v>543</v>
      </c>
      <c r="Y94" s="18">
        <v>495</v>
      </c>
      <c r="Z94" s="18">
        <v>5</v>
      </c>
      <c r="AA94" s="18">
        <v>198</v>
      </c>
      <c r="AB94" s="18">
        <v>165</v>
      </c>
      <c r="AC94" s="18">
        <v>103</v>
      </c>
      <c r="AD94" s="18">
        <v>5</v>
      </c>
      <c r="AE94" s="18" t="s">
        <v>530</v>
      </c>
      <c r="AF94" s="18" t="s">
        <v>532</v>
      </c>
      <c r="AG94" s="18">
        <v>1.639</v>
      </c>
      <c r="AH94" s="18" t="s">
        <v>362</v>
      </c>
      <c r="AI94" s="18" t="s">
        <v>363</v>
      </c>
      <c r="AJ94" s="18" t="s">
        <v>365</v>
      </c>
      <c r="AK94" s="18" t="s">
        <v>365</v>
      </c>
      <c r="AL94" s="18" t="s">
        <v>366</v>
      </c>
      <c r="AM94" s="18" t="s">
        <v>367</v>
      </c>
      <c r="AN94" s="18" t="s">
        <v>365</v>
      </c>
    </row>
    <row r="95" spans="1:40" ht="15" x14ac:dyDescent="0.25">
      <c r="A95" s="18" t="s">
        <v>350</v>
      </c>
      <c r="B95" s="18" t="s">
        <v>351</v>
      </c>
      <c r="C95" s="18" t="s">
        <v>531</v>
      </c>
      <c r="D95" s="18" t="s">
        <v>352</v>
      </c>
      <c r="E95" s="18" t="s">
        <v>43</v>
      </c>
      <c r="F95" s="18" t="s">
        <v>54</v>
      </c>
      <c r="G95" s="18" t="s">
        <v>316</v>
      </c>
      <c r="H95" s="18" t="s">
        <v>241</v>
      </c>
      <c r="I95" s="33">
        <v>1.4570000000000001</v>
      </c>
      <c r="J95" s="27">
        <v>2.21</v>
      </c>
      <c r="K95" s="28">
        <v>6.95</v>
      </c>
      <c r="L95" s="23">
        <f>SUM(((K95)/1.2)-(J95))/((K95)/1.2)</f>
        <v>0.6184172661870504</v>
      </c>
      <c r="M95" s="29">
        <v>1.4570000000000001</v>
      </c>
      <c r="N95" s="25">
        <f>(M95-I95)/I95</f>
        <v>0</v>
      </c>
      <c r="O95" s="26">
        <v>0.52</v>
      </c>
      <c r="P95" s="17">
        <f>M95+(M95*O95)</f>
        <v>2.2146400000000002</v>
      </c>
      <c r="Q95" s="12">
        <f>(P95*1.2)/(1-L95)</f>
        <v>6.9645918552036203</v>
      </c>
      <c r="R95" s="13">
        <f>SUM(((Q95)/1.2)-(P95))/((Q95)/1.2)</f>
        <v>0.6184172661870504</v>
      </c>
      <c r="S95" s="18">
        <v>1060</v>
      </c>
      <c r="T95" s="18" t="s">
        <v>356</v>
      </c>
      <c r="U95" s="18" t="s">
        <v>357</v>
      </c>
      <c r="V95" s="18" t="s">
        <v>388</v>
      </c>
      <c r="W95" s="18">
        <v>596</v>
      </c>
      <c r="X95" s="18" t="s">
        <v>544</v>
      </c>
      <c r="Y95" s="18">
        <v>1010</v>
      </c>
      <c r="Z95" s="18">
        <v>45</v>
      </c>
      <c r="AA95" s="18">
        <v>602</v>
      </c>
      <c r="AB95" s="18">
        <v>364</v>
      </c>
      <c r="AC95" s="18">
        <v>316</v>
      </c>
      <c r="AD95" s="18">
        <v>5</v>
      </c>
      <c r="AE95" s="18" t="s">
        <v>530</v>
      </c>
      <c r="AF95" s="18" t="s">
        <v>532</v>
      </c>
      <c r="AG95" s="18">
        <v>1.4570000000000001</v>
      </c>
      <c r="AH95" s="18" t="s">
        <v>362</v>
      </c>
      <c r="AI95" s="18" t="s">
        <v>363</v>
      </c>
      <c r="AJ95" s="18" t="s">
        <v>365</v>
      </c>
      <c r="AK95" s="18" t="s">
        <v>365</v>
      </c>
      <c r="AL95" s="18" t="s">
        <v>366</v>
      </c>
      <c r="AM95" s="18" t="s">
        <v>367</v>
      </c>
      <c r="AN95" s="18" t="s">
        <v>365</v>
      </c>
    </row>
    <row r="96" spans="1:40" ht="15" x14ac:dyDescent="0.25">
      <c r="A96" s="18" t="s">
        <v>353</v>
      </c>
      <c r="B96" s="18" t="s">
        <v>354</v>
      </c>
      <c r="C96" s="18" t="s">
        <v>531</v>
      </c>
      <c r="D96" s="18" t="s">
        <v>355</v>
      </c>
      <c r="E96" s="18" t="s">
        <v>43</v>
      </c>
      <c r="F96" s="18" t="s">
        <v>54</v>
      </c>
      <c r="G96" s="18" t="s">
        <v>316</v>
      </c>
      <c r="H96" s="18" t="s">
        <v>241</v>
      </c>
      <c r="I96" s="33">
        <v>4.3090000000000002</v>
      </c>
      <c r="J96" s="27">
        <v>6.55</v>
      </c>
      <c r="K96" s="28">
        <v>17.95</v>
      </c>
      <c r="L96" s="23">
        <f>SUM(((K96)/1.2)-(J96))/((K96)/1.2)</f>
        <v>0.56211699164345408</v>
      </c>
      <c r="M96" s="29">
        <v>4.3090000000000002</v>
      </c>
      <c r="N96" s="25">
        <f>(M96-I96)/I96</f>
        <v>0</v>
      </c>
      <c r="O96" s="26">
        <v>0.52</v>
      </c>
      <c r="P96" s="17">
        <f>M96+(M96*O96)</f>
        <v>6.5496800000000004</v>
      </c>
      <c r="Q96" s="12">
        <f>(P96*1.2)/(1-L96)</f>
        <v>17.949123053435116</v>
      </c>
      <c r="R96" s="13">
        <f>SUM(((Q96)/1.2)-(P96))/((Q96)/1.2)</f>
        <v>0.56211699164345408</v>
      </c>
      <c r="S96" s="18">
        <v>793</v>
      </c>
      <c r="T96" s="18" t="s">
        <v>356</v>
      </c>
      <c r="U96" s="18" t="s">
        <v>357</v>
      </c>
      <c r="V96" s="18" t="s">
        <v>388</v>
      </c>
      <c r="W96" s="18">
        <v>268</v>
      </c>
      <c r="X96" s="18" t="s">
        <v>545</v>
      </c>
      <c r="Y96" s="18">
        <v>130</v>
      </c>
      <c r="Z96" s="18">
        <v>6</v>
      </c>
      <c r="AA96" s="18">
        <v>256</v>
      </c>
      <c r="AB96" s="18">
        <v>113</v>
      </c>
      <c r="AC96" s="18">
        <v>129</v>
      </c>
      <c r="AD96" s="18">
        <v>1</v>
      </c>
      <c r="AE96" s="18" t="s">
        <v>530</v>
      </c>
      <c r="AF96" s="18" t="s">
        <v>532</v>
      </c>
      <c r="AG96" s="18">
        <v>4.3090000000000002</v>
      </c>
      <c r="AH96" s="18" t="s">
        <v>362</v>
      </c>
      <c r="AI96" s="18" t="s">
        <v>363</v>
      </c>
      <c r="AJ96" s="18" t="s">
        <v>365</v>
      </c>
      <c r="AK96" s="18" t="s">
        <v>365</v>
      </c>
      <c r="AL96" s="18" t="s">
        <v>366</v>
      </c>
      <c r="AM96" s="18" t="s">
        <v>367</v>
      </c>
      <c r="AN96" s="18" t="s">
        <v>365</v>
      </c>
    </row>
    <row r="97" spans="1:18" ht="15" x14ac:dyDescent="0.2">
      <c r="A97" s="18"/>
      <c r="B97" s="18"/>
      <c r="D97" s="18"/>
      <c r="E97" s="18"/>
      <c r="F97" s="18"/>
      <c r="G97" s="18"/>
      <c r="H97" s="18"/>
      <c r="J97" s="21"/>
      <c r="K97" s="22"/>
      <c r="L97" s="23" t="e">
        <f>SUM(((K97)/1.2)-(J97))/((K97)/1.2)</f>
        <v>#DIV/0!</v>
      </c>
      <c r="M97" s="24"/>
      <c r="N97" s="25" t="e">
        <f>(M97-I97)/I97</f>
        <v>#DIV/0!</v>
      </c>
      <c r="O97" s="31"/>
      <c r="P97" s="17">
        <f>M97+(M97*O97)</f>
        <v>0</v>
      </c>
      <c r="Q97" s="12" t="e">
        <f>(P97*1.2)/(1-L97)</f>
        <v>#DIV/0!</v>
      </c>
      <c r="R97" s="13" t="e">
        <f>SUM(((Q97)/1.2)-(P97))/((Q97)/1.2)</f>
        <v>#DIV/0!</v>
      </c>
    </row>
  </sheetData>
  <autoFilter ref="A1:AN97" xr:uid="{00000000-0009-0000-0000-000000000000}">
    <sortState xmlns:xlrd2="http://schemas.microsoft.com/office/spreadsheetml/2017/richdata2" ref="A2:AN97">
      <sortCondition sortBy="cellColor" ref="A1:A97" dxfId="1"/>
    </sortState>
  </autoFilter>
  <sortState xmlns:xlrd2="http://schemas.microsoft.com/office/spreadsheetml/2017/richdata2" ref="A2:AJ38">
    <sortCondition ref="A1"/>
  </sortState>
  <pageMargins left="0.2" right="0.25" top="0.75" bottom="0.75" header="0.3" footer="0.3"/>
  <pageSetup paperSize="9" scale="2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Belhaire</dc:creator>
  <cp:lastModifiedBy>Christine Belhaire</cp:lastModifiedBy>
  <cp:lastPrinted>2019-10-17T09:51:20Z</cp:lastPrinted>
  <dcterms:created xsi:type="dcterms:W3CDTF">2019-10-08T12:52:22Z</dcterms:created>
  <dcterms:modified xsi:type="dcterms:W3CDTF">2020-08-19T08:25:27Z</dcterms:modified>
</cp:coreProperties>
</file>